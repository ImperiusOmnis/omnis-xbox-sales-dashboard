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elson\Documents\Dio.me\Formação Análise de Dados com Excel e IA\Projeto - Dashboard de vendas do xbox\"/>
    </mc:Choice>
  </mc:AlternateContent>
  <xr:revisionPtr revIDLastSave="0" documentId="13_ncr:1_{3574403D-2461-454D-86BC-677DE8E27313}" xr6:coauthVersionLast="47" xr6:coauthVersionMax="47" xr10:uidLastSave="{00000000-0000-0000-0000-000000000000}"/>
  <bookViews>
    <workbookView xWindow="-108" yWindow="-108" windowWidth="23256" windowHeight="12456" tabRatio="624" firstSheet="3" activeTab="4" xr2:uid="{28DD5B76-0634-4F87-BE60-8BFA7EF2E23B}"/>
  </bookViews>
  <sheets>
    <sheet name="A̳ssets" sheetId="1" state="hidden" r:id="rId1"/>
    <sheet name="B̳ases" sheetId="5" state="hidden" r:id="rId2"/>
    <sheet name="Calcs" sheetId="3" state="hidden" r:id="rId3"/>
    <sheet name="Game_Pass_Sales_D̳ashboard" sheetId="4" r:id="rId4"/>
    <sheet name="Revenue_Subscriptions_Dashboard" sheetId="8" r:id="rId5"/>
  </sheet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5" l="1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" i="5"/>
  <c r="D91" i="3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" i="5"/>
  <c r="L2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D14" i="3"/>
  <c r="D49" i="3"/>
  <c r="D36" i="3"/>
  <c r="D25" i="3"/>
</calcChain>
</file>

<file path=xl/sharedStrings.xml><?xml version="1.0" encoding="utf-8"?>
<sst xmlns="http://schemas.openxmlformats.org/spreadsheetml/2006/main" count="2076" uniqueCount="364">
  <si>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</si>
  <si>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</si>
  <si>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</si>
  <si>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</si>
  <si>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</si>
  <si>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</si>
  <si>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</si>
  <si>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</si>
  <si>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</si>
  <si>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</si>
  <si>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</si>
  <si>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</si>
  <si>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</si>
  <si>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</si>
  <si>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</si>
  <si>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</si>
  <si>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</si>
  <si>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</si>
  <si>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</si>
  <si>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</si>
  <si>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</si>
  <si>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</si>
  <si>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</si>
  <si>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</si>
  <si>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</si>
  <si>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</si>
  <si>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</si>
  <si>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</si>
  <si>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</si>
  <si>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</si>
  <si>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</si>
  <si>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</si>
  <si>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</si>
  <si>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</si>
  <si>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</si>
  <si>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</si>
  <si>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</si>
  <si>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</si>
  <si>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</si>
  <si>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</si>
  <si>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</si>
  <si>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</si>
  <si>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</si>
  <si>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</si>
  <si>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</si>
  <si>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</si>
  <si>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</si>
  <si>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</si>
  <si>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</si>
  <si>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</si>
  <si>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</si>
  <si>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</si>
  <si>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</si>
  <si>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</si>
  <si>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</si>
  <si>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</si>
  <si>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</si>
  <si>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</si>
  <si>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</si>
  <si>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</si>
  <si>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</si>
  <si>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</si>
  <si>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</si>
  <si>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</si>
  <si>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</si>
  <si>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</si>
  <si>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</si>
  <si>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</si>
  <si>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</si>
  <si>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</si>
  <si>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</si>
  <si>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</si>
  <si>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</si>
  <si>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</si>
  <si>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</si>
  <si>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</si>
  <si>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</si>
  <si>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</si>
  <si>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</si>
  <si>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</si>
  <si>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</si>
  <si>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</si>
  <si>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</si>
  <si>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</si>
  <si>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</si>
  <si>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</si>
  <si>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</si>
  <si>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</si>
  <si>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</si>
  <si>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</si>
  <si>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</si>
  <si>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</si>
  <si>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</si>
  <si>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</si>
  <si>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</si>
  <si>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</si>
  <si>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</si>
  <si>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</si>
  <si>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</si>
  <si>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</si>
  <si>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</si>
  <si>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</si>
  <si>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</si>
  <si>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</si>
  <si>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</si>
  <si>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</si>
  <si>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</si>
  <si>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</si>
  <si>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</si>
  <si>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</si>
  <si>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</si>
  <si>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</si>
  <si>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</si>
  <si>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</si>
  <si>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</si>
  <si>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</si>
  <si>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</si>
  <si>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</si>
  <si>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</si>
  <si>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</si>
  <si>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</si>
  <si>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</si>
  <si>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</si>
  <si>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</si>
  <si>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</si>
  <si>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</si>
  <si>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</si>
  <si>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</si>
  <si>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</si>
  <si>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</si>
  <si>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</si>
  <si>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</si>
  <si>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</si>
  <si>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</si>
  <si>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</si>
  <si>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</si>
  <si>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</si>
  <si>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</si>
  <si>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</si>
  <si>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</si>
  <si>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</si>
  <si>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</si>
  <si>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</si>
  <si>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</si>
  <si>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</si>
  <si>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</si>
  <si>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</si>
  <si>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</si>
  <si>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</si>
  <si>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</si>
  <si>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</si>
  <si>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</si>
  <si>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</si>
  <si>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</si>
  <si>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</si>
  <si>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</si>
  <si>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</si>
  <si>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</si>
  <si>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</si>
  <si>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</si>
  <si>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</si>
  <si>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</si>
  <si>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</si>
  <si>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</si>
  <si>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</si>
  <si>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</si>
  <si>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</si>
  <si>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</si>
  <si>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</si>
  <si>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</si>
  <si>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</si>
  <si>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</si>
  <si>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</si>
  <si>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</si>
  <si>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</si>
  <si>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</si>
  <si>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</si>
  <si>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</si>
  <si>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</si>
  <si>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</si>
  <si>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</si>
  <si>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</si>
  <si>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</si>
  <si>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</si>
  <si>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</si>
  <si>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</si>
  <si>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</si>
  <si>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</si>
  <si>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</si>
  <si>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</si>
  <si>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</si>
  <si>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</si>
  <si>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</si>
  <si>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</si>
  <si>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</si>
  <si>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</si>
  <si>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</si>
  <si>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</si>
  <si>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</si>
  <si>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</si>
  <si>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</si>
  <si>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</si>
  <si>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</si>
  <si>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</si>
  <si>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</si>
  <si>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</si>
  <si>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</si>
  <si>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</si>
  <si>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</si>
  <si>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</si>
  <si>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</si>
  <si>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</si>
  <si>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</si>
  <si>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</si>
  <si>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</si>
  <si>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</si>
  <si>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</si>
  <si>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</si>
  <si>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</si>
  <si>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</si>
  <si>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</si>
  <si>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</si>
  <si>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</si>
  <si>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</si>
  <si>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</si>
  <si>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</si>
  <si>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</si>
  <si>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</si>
  <si>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</si>
  <si>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</si>
  <si>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</si>
  <si>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</si>
  <si>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</si>
  <si>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</si>
  <si>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</si>
  <si>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</si>
  <si>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</si>
  <si>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</si>
  <si>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</si>
  <si>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</si>
  <si>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</si>
  <si>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</si>
  <si>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</si>
  <si>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</si>
  <si>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</si>
  <si>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</si>
  <si>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</si>
  <si>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</si>
  <si>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</si>
  <si>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</si>
  <si>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</si>
  <si>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</si>
  <si>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</si>
  <si>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</si>
  <si>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</si>
  <si>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</si>
  <si>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</si>
  <si>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</si>
  <si>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</si>
  <si>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</si>
  <si>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</si>
  <si>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</si>
  <si>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</si>
  <si>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</si>
  <si>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</si>
  <si>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</si>
  <si>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</si>
  <si>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</si>
  <si>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</si>
  <si>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</si>
  <si>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</si>
  <si>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</si>
  <si>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</si>
  <si>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</si>
  <si>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</si>
  <si>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</si>
  <si>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</si>
  <si>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</si>
  <si>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</si>
  <si>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</si>
  <si>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</si>
  <si>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</si>
  <si>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</si>
  <si>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</si>
  <si>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</si>
  <si>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</si>
  <si>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</si>
  <si>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</si>
  <si>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</si>
  <si>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</si>
  <si>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</si>
  <si>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</si>
  <si>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</si>
  <si>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</si>
  <si>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</si>
  <si>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</si>
  <si>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</si>
  <si>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</si>
  <si>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</si>
  <si>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</si>
  <si>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</si>
  <si>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</si>
  <si>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</si>
  <si>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</si>
  <si>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</si>
  <si>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</si>
  <si>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</si>
  <si>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</si>
  <si>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</si>
  <si>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</si>
  <si>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</si>
  <si>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</si>
  <si>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</si>
  <si>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</si>
  <si>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</si>
  <si>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</si>
  <si>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</si>
  <si>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ou que não é por auto renovação</t>
    </r>
  </si>
  <si>
    <t>É uma pergunta de negócio respondida através de alguma análise de dados específica</t>
  </si>
  <si>
    <t>Pergunta de Negócio 3 - Total de Vendas de Assinaturas do EA Play</t>
  </si>
  <si>
    <t>Soma de EA Play Season Pass</t>
  </si>
  <si>
    <t>Pergunta de Negócio 4 - Total de Vendas de Minecraft Season Pass</t>
  </si>
  <si>
    <t>Soma de Minecraft Season Pass Price</t>
  </si>
  <si>
    <t>XBOX GAME PASS SALES DASHBOARD</t>
  </si>
  <si>
    <t>Receita por plano — nível 1</t>
  </si>
  <si>
    <r>
      <t xml:space="preserve">Qual </t>
    </r>
    <r>
      <rPr>
        <sz val="10"/>
        <color theme="1"/>
        <rFont val="Arial Unicode MS"/>
      </rPr>
      <t>Plan</t>
    </r>
    <r>
      <rPr>
        <sz val="11"/>
        <color theme="1"/>
        <rFont val="Aptos Narrow"/>
        <family val="2"/>
        <scheme val="minor"/>
      </rPr>
      <t xml:space="preserve"> gerou o </t>
    </r>
    <r>
      <rPr>
        <b/>
        <sz val="11"/>
        <color theme="1"/>
        <rFont val="Aptos Narrow"/>
        <family val="2"/>
        <scheme val="minor"/>
      </rPr>
      <t>maior faturamento total</t>
    </r>
    <r>
      <rPr>
        <sz val="11"/>
        <color theme="1"/>
        <rFont val="Aptos Narrow"/>
        <family val="2"/>
        <scheme val="minor"/>
      </rPr>
      <t>?</t>
    </r>
  </si>
  <si>
    <t>Quero que você descubra o valor de cada plano e identifique o líder.</t>
  </si>
  <si>
    <t>Comportamento de renovação — nível 2</t>
  </si>
  <si>
    <r>
      <t xml:space="preserve">Considerando </t>
    </r>
    <r>
      <rPr>
        <b/>
        <sz val="11"/>
        <color theme="1"/>
        <rFont val="Aptos Narrow"/>
        <family val="2"/>
        <scheme val="minor"/>
      </rPr>
      <t>toda a base</t>
    </r>
    <r>
      <rPr>
        <sz val="11"/>
        <color theme="1"/>
        <rFont val="Aptos Narrow"/>
        <family val="2"/>
        <scheme val="minor"/>
      </rPr>
      <t xml:space="preserve">, e não apenas assinaturas anuais, qual é o faturamento total dos clientes com </t>
    </r>
    <r>
      <rPr>
        <sz val="10"/>
        <color theme="1"/>
        <rFont val="Arial Unicode MS"/>
      </rPr>
      <t>Auto Renewal = Yes</t>
    </r>
    <r>
      <rPr>
        <sz val="11"/>
        <color theme="1"/>
        <rFont val="Aptos Narrow"/>
        <family val="2"/>
        <scheme val="minor"/>
      </rPr>
      <t xml:space="preserve"> e dos clientes com </t>
    </r>
    <r>
      <rPr>
        <sz val="10"/>
        <color theme="1"/>
        <rFont val="Arial Unicode MS"/>
      </rPr>
      <t>Auto Renewal = No</t>
    </r>
    <r>
      <rPr>
        <sz val="11"/>
        <color theme="1"/>
        <rFont val="Aptos Narrow"/>
        <family val="2"/>
        <scheme val="minor"/>
      </rPr>
      <t>?</t>
    </r>
  </si>
  <si>
    <r>
      <t xml:space="preserve">Depois responda: </t>
    </r>
    <r>
      <rPr>
        <b/>
        <sz val="11"/>
        <color theme="1"/>
        <rFont val="Aptos Narrow"/>
        <family val="2"/>
        <scheme val="minor"/>
      </rPr>
      <t>qual grupo representa a maior parte da receita?</t>
    </r>
  </si>
  <si>
    <t>Season Pass — nível 3</t>
  </si>
  <si>
    <t>Quero saber quantos assinantes estão em cada situação:</t>
  </si>
  <si>
    <r>
      <t xml:space="preserve">compraram </t>
    </r>
    <r>
      <rPr>
        <b/>
        <sz val="11"/>
        <color theme="1"/>
        <rFont val="Aptos Narrow"/>
        <family val="2"/>
        <scheme val="minor"/>
      </rPr>
      <t>somente EA Play Season Pass</t>
    </r>
    <r>
      <rPr>
        <sz val="11"/>
        <color theme="1"/>
        <rFont val="Aptos Narrow"/>
        <family val="2"/>
        <scheme val="minor"/>
      </rPr>
      <t>;</t>
    </r>
  </si>
  <si>
    <r>
      <t xml:space="preserve">compraram </t>
    </r>
    <r>
      <rPr>
        <b/>
        <sz val="11"/>
        <color theme="1"/>
        <rFont val="Aptos Narrow"/>
        <family val="2"/>
        <scheme val="minor"/>
      </rPr>
      <t>somente Minecraft Season Pass</t>
    </r>
    <r>
      <rPr>
        <sz val="11"/>
        <color theme="1"/>
        <rFont val="Aptos Narrow"/>
        <family val="2"/>
        <scheme val="minor"/>
      </rPr>
      <t>;</t>
    </r>
  </si>
  <si>
    <r>
      <t xml:space="preserve">compraram </t>
    </r>
    <r>
      <rPr>
        <b/>
        <sz val="11"/>
        <color theme="1"/>
        <rFont val="Aptos Narrow"/>
        <family val="2"/>
        <scheme val="minor"/>
      </rPr>
      <t>os dois Season Passes</t>
    </r>
    <r>
      <rPr>
        <sz val="11"/>
        <color theme="1"/>
        <rFont val="Aptos Narrow"/>
        <family val="2"/>
        <scheme val="minor"/>
      </rPr>
      <t>;</t>
    </r>
  </si>
  <si>
    <r>
      <t>não compraram nenhum</t>
    </r>
    <r>
      <rPr>
        <sz val="11"/>
        <color theme="1"/>
        <rFont val="Aptos Narrow"/>
        <family val="2"/>
        <scheme val="minor"/>
      </rPr>
      <t>.</t>
    </r>
  </si>
  <si>
    <t>Aqui já quero ver você pensar um pouco mais na lógica dos campos. 😉</t>
  </si>
  <si>
    <t>Análise temporal — nível 4</t>
  </si>
  <si>
    <r>
      <t xml:space="preserve">Utilizando </t>
    </r>
    <r>
      <rPr>
        <sz val="10"/>
        <color theme="1"/>
        <rFont val="Arial Unicode MS"/>
      </rPr>
      <t>Start Date</t>
    </r>
    <r>
      <rPr>
        <sz val="11"/>
        <color theme="1"/>
        <rFont val="Aptos Narrow"/>
        <family val="2"/>
        <scheme val="minor"/>
      </rPr>
      <t xml:space="preserve"> e </t>
    </r>
    <r>
      <rPr>
        <sz val="10"/>
        <color theme="1"/>
        <rFont val="Arial Unicode MS"/>
      </rPr>
      <t>Total Value</t>
    </r>
    <r>
      <rPr>
        <sz val="11"/>
        <color theme="1"/>
        <rFont val="Aptos Narrow"/>
        <family val="2"/>
        <scheme val="minor"/>
      </rPr>
      <t xml:space="preserve">, descubra </t>
    </r>
    <r>
      <rPr>
        <b/>
        <sz val="11"/>
        <color theme="1"/>
        <rFont val="Aptos Narrow"/>
        <family val="2"/>
        <scheme val="minor"/>
      </rPr>
      <t>qual mês teve o maior faturamento</t>
    </r>
    <r>
      <rPr>
        <sz val="11"/>
        <color theme="1"/>
        <rFont val="Aptos Narrow"/>
        <family val="2"/>
        <scheme val="minor"/>
      </rPr>
      <t>.</t>
    </r>
  </si>
  <si>
    <t>Depois me diga:</t>
  </si>
  <si>
    <t>qual foi o mês e quanto ele faturou?</t>
  </si>
  <si>
    <t>(Tudo)</t>
  </si>
  <si>
    <t>Minecraft Season Pass Count</t>
  </si>
  <si>
    <t>EA Play Season Pass Count</t>
  </si>
  <si>
    <t>Purchased Both Season Passes</t>
  </si>
  <si>
    <t>Purchased No Season Passes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</si>
  <si>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</si>
  <si>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</si>
  <si>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</si>
  <si>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</si>
  <si>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</si>
  <si>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</si>
  <si>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</si>
  <si>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</si>
  <si>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</si>
  <si>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</si>
  <si>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</si>
  <si>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</si>
  <si>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Purchased Both Season Passes</t>
  </si>
  <si>
    <t>Soma de Purchased No Season Passes</t>
  </si>
  <si>
    <t>Minecraft Season Pass Only</t>
  </si>
  <si>
    <t>EA Play Season Pass Only</t>
  </si>
  <si>
    <t>Soma de Minecraft Season Pass Only</t>
  </si>
  <si>
    <t>Soma de EA Play Season Pass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</si>
</sst>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mmm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rial"/>
      <family val="2"/>
    </font>
    <font>
      <b/>
      <sz val="15"/>
      <color rgb="FF22C55E"/>
      <name val="Segoe UI"/>
      <family val="2"/>
    </font>
    <font>
      <sz val="10"/>
      <color theme="1"/>
      <name val="Aptos Narrow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1" fillId="0" borderId="2" xfId="1" applyBorder="1"/>
    <xf numFmtId="164" fontId="0" fillId="0" borderId="0" xfId="0" applyNumberFormat="1"/>
    <xf numFmtId="0" fontId="5" fillId="0" borderId="0" xfId="1" applyFont="1" applyBorder="1"/>
    <xf numFmtId="0" fontId="6" fillId="7" borderId="0" xfId="0" applyFont="1" applyFill="1"/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2" fontId="0" fillId="0" borderId="0" xfId="2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65" fontId="0" fillId="0" borderId="0" xfId="0" applyNumberFormat="1" applyAlignment="1">
      <alignment horizontal="left"/>
    </xf>
    <xf numFmtId="1" fontId="0" fillId="0" borderId="0" xfId="2" applyNumberFormat="1" applyFont="1" applyAlignment="1">
      <alignment horizontal="center" vertical="center" wrapText="1"/>
    </xf>
    <xf numFmtId="0" fontId="4" fillId="8" borderId="0" xfId="3" applyAlignment="1">
      <alignment horizontal="center" vertic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41">
    <dxf>
      <numFmt numFmtId="165" formatCode="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9E0748FA-298A-4023-B315-E32608636409}">
      <tableStyleElement type="wholeTable" dxfId="40"/>
      <tableStyleElement type="headerRow" dxfId="39"/>
    </tableStyle>
  </tableStyles>
  <colors>
    <mruColors>
      <color rgb="FF5BF6A8"/>
      <color rgb="FF9BC848"/>
      <color rgb="FF22C55E"/>
      <color rgb="FF2AE6B1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[projeto_vendas_xbox.xlsx]Calcs!tbl_annua_total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</a:gradFill>
          <a:ln>
            <a:noFill/>
          </a:ln>
          <a:effectLst/>
        </c:spPr>
      </c:pivotFmt>
      <c:pivotFmt>
        <c:idx val="6"/>
        <c:spPr>
          <a:gradFill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1200025307013313E-2"/>
          <c:y val="4.4157506697116489E-2"/>
          <c:w val="0.94671069159349497"/>
          <c:h val="0.911684986605767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rgbClr val="9BC848"/>
                  </a:gs>
                  <a:gs pos="52000">
                    <a:srgbClr val="22C55E">
                      <a:lumMod val="100000"/>
                    </a:srgbClr>
                  </a:gs>
                  <a:gs pos="16000">
                    <a:srgbClr val="35EAAF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C8-4CDF-BACE-1850F4DC4962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00">
                    <a:srgbClr val="9BC848"/>
                  </a:gs>
                  <a:gs pos="52000">
                    <a:srgbClr val="22C55E">
                      <a:lumMod val="100000"/>
                    </a:srgbClr>
                  </a:gs>
                  <a:gs pos="16000">
                    <a:srgbClr val="35EAAF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C8-4CDF-BACE-1850F4DC49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8-4CDF-BACE-1850F4DC4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2359600"/>
        <c:axId val="804594128"/>
      </c:barChart>
      <c:catAx>
        <c:axId val="172235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4594128"/>
        <c:crosses val="autoZero"/>
        <c:auto val="1"/>
        <c:lblAlgn val="ctr"/>
        <c:lblOffset val="100"/>
        <c:noMultiLvlLbl val="0"/>
      </c:catAx>
      <c:valAx>
        <c:axId val="80459412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2235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[projeto_vendas_xbox.xlsx]Calcs!Tabela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Calcs!$C$45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9BC848"/>
                </a:gs>
                <a:gs pos="52000">
                  <a:srgbClr val="22C55E">
                    <a:lumMod val="100000"/>
                  </a:srgbClr>
                </a:gs>
                <a:gs pos="16000">
                  <a:srgbClr val="35EAAF"/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Calcs!$B$46:$B$49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Calcs!$C$46:$C$49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4-4FA6-BD94-372305F05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24864"/>
        <c:axId val="648981328"/>
      </c:barChart>
      <c:catAx>
        <c:axId val="7010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8981328"/>
        <c:crosses val="autoZero"/>
        <c:auto val="1"/>
        <c:lblAlgn val="ctr"/>
        <c:lblOffset val="100"/>
        <c:noMultiLvlLbl val="0"/>
      </c:catAx>
      <c:valAx>
        <c:axId val="6489813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010248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[projeto_vendas_xbox.xlsx]Calcs!Tabela dinâmica4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</a:t>
            </a:r>
            <a:r>
              <a:rPr lang="en-US"/>
              <a:t>Auto</a:t>
            </a:r>
            <a:r>
              <a:rPr lang="en-US" baseline="0"/>
              <a:t> Renewal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</a:gradFill>
          <a:ln>
            <a:noFill/>
          </a:ln>
          <a:effectLst/>
        </c:spPr>
      </c:pivotFmt>
      <c:pivotFmt>
        <c:idx val="4"/>
        <c:spPr>
          <a:gradFill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Calcs!$C$59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rgbClr val="9BC848"/>
                  </a:gs>
                  <a:gs pos="52000">
                    <a:srgbClr val="22C55E">
                      <a:lumMod val="100000"/>
                    </a:srgbClr>
                  </a:gs>
                  <a:gs pos="16000">
                    <a:srgbClr val="35EAAF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A78-45BE-8D98-6F0F938CB87B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00">
                    <a:srgbClr val="9BC848"/>
                  </a:gs>
                  <a:gs pos="52000">
                    <a:srgbClr val="22C55E">
                      <a:lumMod val="100000"/>
                    </a:srgbClr>
                  </a:gs>
                  <a:gs pos="16000">
                    <a:srgbClr val="35EAAF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78-45BE-8D98-6F0F938CB8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Calcs!$B$60:$B$62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Calcs!$C$60:$C$62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8-45BE-8D98-6F0F938CB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286096"/>
        <c:axId val="649053808"/>
      </c:barChart>
      <c:catAx>
        <c:axId val="65428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9053808"/>
        <c:crosses val="autoZero"/>
        <c:auto val="1"/>
        <c:lblAlgn val="ctr"/>
        <c:lblOffset val="100"/>
        <c:noMultiLvlLbl val="0"/>
      </c:catAx>
      <c:valAx>
        <c:axId val="6490538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5428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[projeto_vendas_xbox.xlsx]Calcs!Tabela dinâmica5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Calcs!$B$78</c:f>
              <c:strCache>
                <c:ptCount val="1"/>
                <c:pt idx="0">
                  <c:v>Soma de EA Play Season Pass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Calcs!$B$79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Calcs!$B$79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E-4328-BED4-0DE093A6E540}"/>
            </c:ext>
          </c:extLst>
        </c:ser>
        <c:ser>
          <c:idx val="1"/>
          <c:order val="1"/>
          <c:tx>
            <c:strRef>
              <c:f>Calcs!$C$78</c:f>
              <c:strCache>
                <c:ptCount val="1"/>
                <c:pt idx="0">
                  <c:v>Soma de Minecraft Season Pass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Calcs!$B$79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Calcs!$C$79</c:f>
              <c:numCache>
                <c:formatCode>0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D-478B-94C8-47056C8FB52D}"/>
            </c:ext>
          </c:extLst>
        </c:ser>
        <c:ser>
          <c:idx val="2"/>
          <c:order val="2"/>
          <c:tx>
            <c:strRef>
              <c:f>Calcs!$D$78</c:f>
              <c:strCache>
                <c:ptCount val="1"/>
                <c:pt idx="0">
                  <c:v>Soma de Purchased Both Season Passes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Calcs!$B$79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Calcs!$D$79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4D-478B-94C8-47056C8FB52D}"/>
            </c:ext>
          </c:extLst>
        </c:ser>
        <c:ser>
          <c:idx val="3"/>
          <c:order val="3"/>
          <c:tx>
            <c:strRef>
              <c:f>Calcs!$E$78</c:f>
              <c:strCache>
                <c:ptCount val="1"/>
                <c:pt idx="0">
                  <c:v>Soma de Purchased No Season Passes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Calcs!$B$79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Calcs!$E$79</c:f>
              <c:numCache>
                <c:formatCode>0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4D-478B-94C8-47056C8FB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6792704"/>
        <c:axId val="648991408"/>
      </c:barChart>
      <c:catAx>
        <c:axId val="70679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8991408"/>
        <c:crosses val="autoZero"/>
        <c:auto val="1"/>
        <c:lblAlgn val="ctr"/>
        <c:lblOffset val="100"/>
        <c:noMultiLvlLbl val="0"/>
      </c:catAx>
      <c:valAx>
        <c:axId val="64899140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7067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16898148148145"/>
          <c:y val="4.8946031746031744E-2"/>
          <c:w val="0.28283100888437962"/>
          <c:h val="0.57464842471362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[projeto_vendas_xbox.xlsx]Calcs!Tabela dinâmica6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Top Revenue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Calcs!$C$90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Calcs!$B$91:$B$103</c:f>
              <c:strCache>
                <c:ptCount val="12"/>
                <c:pt idx="0">
                  <c:v>out</c:v>
                </c:pt>
                <c:pt idx="1">
                  <c:v>mar</c:v>
                </c:pt>
                <c:pt idx="2">
                  <c:v>ago</c:v>
                </c:pt>
                <c:pt idx="3">
                  <c:v>jul</c:v>
                </c:pt>
                <c:pt idx="4">
                  <c:v>nov</c:v>
                </c:pt>
                <c:pt idx="5">
                  <c:v>abr</c:v>
                </c:pt>
                <c:pt idx="6">
                  <c:v>set</c:v>
                </c:pt>
                <c:pt idx="7">
                  <c:v>mai</c:v>
                </c:pt>
                <c:pt idx="8">
                  <c:v>jun</c:v>
                </c:pt>
                <c:pt idx="9">
                  <c:v>dez</c:v>
                </c:pt>
                <c:pt idx="10">
                  <c:v>fev</c:v>
                </c:pt>
                <c:pt idx="11">
                  <c:v>jan</c:v>
                </c:pt>
              </c:strCache>
            </c:strRef>
          </c:cat>
          <c:val>
            <c:numRef>
              <c:f>Calcs!$C$91:$C$103</c:f>
              <c:numCache>
                <c:formatCode>_("R$"* #,##0.00_);_("R$"* \(#,##0.00\);_("R$"* "-"??_);_(@_)</c:formatCode>
                <c:ptCount val="12"/>
                <c:pt idx="0">
                  <c:v>832</c:v>
                </c:pt>
                <c:pt idx="1">
                  <c:v>801</c:v>
                </c:pt>
                <c:pt idx="2">
                  <c:v>787</c:v>
                </c:pt>
                <c:pt idx="3">
                  <c:v>784</c:v>
                </c:pt>
                <c:pt idx="4">
                  <c:v>784</c:v>
                </c:pt>
                <c:pt idx="5">
                  <c:v>782</c:v>
                </c:pt>
                <c:pt idx="6">
                  <c:v>780</c:v>
                </c:pt>
                <c:pt idx="7">
                  <c:v>777</c:v>
                </c:pt>
                <c:pt idx="8">
                  <c:v>770</c:v>
                </c:pt>
                <c:pt idx="9">
                  <c:v>389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4-4D3A-BE6C-55CD56ED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4464768"/>
        <c:axId val="1384719376"/>
        <c:axId val="0"/>
      </c:bar3DChart>
      <c:catAx>
        <c:axId val="154446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4719376"/>
        <c:crosses val="autoZero"/>
        <c:auto val="1"/>
        <c:lblAlgn val="ctr"/>
        <c:lblOffset val="100"/>
        <c:noMultiLvlLbl val="0"/>
      </c:catAx>
      <c:valAx>
        <c:axId val="13847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446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11.png"/><Relationship Id="rId7" Type="http://schemas.openxmlformats.org/officeDocument/2006/relationships/chart" Target="../charts/chart4.xml"/><Relationship Id="rId12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chart" Target="../charts/chart3.xml"/><Relationship Id="rId11" Type="http://schemas.openxmlformats.org/officeDocument/2006/relationships/image" Target="../media/image10.svg"/><Relationship Id="rId5" Type="http://schemas.openxmlformats.org/officeDocument/2006/relationships/chart" Target="../charts/chart2.xml"/><Relationship Id="rId10" Type="http://schemas.openxmlformats.org/officeDocument/2006/relationships/image" Target="../media/image9.png"/><Relationship Id="rId4" Type="http://schemas.openxmlformats.org/officeDocument/2006/relationships/image" Target="../media/image12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E1CFBA24-F231-4F8C-B648-A6708FA74731}"/>
            </a:ext>
          </a:extLst>
        </xdr:cNvPr>
        <xdr:cNvSpPr>
          <a:spLocks noChangeAspect="1" noChangeArrowheads="1"/>
        </xdr:cNvSpPr>
      </xdr:nvSpPr>
      <xdr:spPr bwMode="auto">
        <a:xfrm>
          <a:off x="14211300" y="118872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304800</xdr:colOff>
      <xdr:row>6</xdr:row>
      <xdr:rowOff>95250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162032E-8643-44CA-917B-539227B16051}"/>
            </a:ext>
          </a:extLst>
        </xdr:cNvPr>
        <xdr:cNvSpPr>
          <a:spLocks noChangeAspect="1" noChangeArrowheads="1"/>
        </xdr:cNvSpPr>
      </xdr:nvSpPr>
      <xdr:spPr bwMode="auto">
        <a:xfrm>
          <a:off x="15544800" y="118872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5</xdr:row>
      <xdr:rowOff>0</xdr:rowOff>
    </xdr:from>
    <xdr:ext cx="304800" cy="298450"/>
    <xdr:sp macro="" textlink="">
      <xdr:nvSpPr>
        <xdr:cNvPr id="5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DE24520-83EB-4E71-9B4A-2520DEC88675}"/>
            </a:ext>
          </a:extLst>
        </xdr:cNvPr>
        <xdr:cNvSpPr>
          <a:spLocks noChangeAspect="1" noChangeArrowheads="1"/>
        </xdr:cNvSpPr>
      </xdr:nvSpPr>
      <xdr:spPr bwMode="auto">
        <a:xfrm>
          <a:off x="18753667" y="1176867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</xdr:row>
      <xdr:rowOff>0</xdr:rowOff>
    </xdr:from>
    <xdr:ext cx="304800" cy="298450"/>
    <xdr:sp macro="" textlink="">
      <xdr:nvSpPr>
        <xdr:cNvPr id="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2E24AA22-1082-4521-91FD-DB075BBA1DC0}"/>
            </a:ext>
          </a:extLst>
        </xdr:cNvPr>
        <xdr:cNvSpPr>
          <a:spLocks noChangeAspect="1" noChangeArrowheads="1"/>
        </xdr:cNvSpPr>
      </xdr:nvSpPr>
      <xdr:spPr bwMode="auto">
        <a:xfrm>
          <a:off x="19905133" y="1540933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188540</xdr:colOff>
      <xdr:row>0</xdr:row>
      <xdr:rowOff>144084</xdr:rowOff>
    </xdr:from>
    <xdr:to>
      <xdr:col>2</xdr:col>
      <xdr:colOff>540423</xdr:colOff>
      <xdr:row>2</xdr:row>
      <xdr:rowOff>103584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6498CD-76DB-4C13-A6B9-1DB1F0B9D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0" t="20325" r="72277" b="21604"/>
        <a:stretch>
          <a:fillRect/>
        </a:stretch>
      </xdr:blipFill>
      <xdr:spPr>
        <a:xfrm>
          <a:off x="2015099" y="144084"/>
          <a:ext cx="576000" cy="553412"/>
        </a:xfrm>
        <a:prstGeom prst="rect">
          <a:avLst/>
        </a:prstGeom>
        <a:noFill/>
        <a:effectLst>
          <a:glow rad="635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endPos="33000" dir="5400000" sy="-100000" algn="bl" rotWithShape="0"/>
        </a:effectLst>
      </xdr:spPr>
    </xdr:pic>
    <xdr:clientData/>
  </xdr:twoCellAnchor>
  <xdr:twoCellAnchor editAs="absolute">
    <xdr:from>
      <xdr:col>0</xdr:col>
      <xdr:colOff>0</xdr:colOff>
      <xdr:row>7</xdr:row>
      <xdr:rowOff>342900</xdr:rowOff>
    </xdr:from>
    <xdr:to>
      <xdr:col>0</xdr:col>
      <xdr:colOff>1781735</xdr:colOff>
      <xdr:row>21</xdr:row>
      <xdr:rowOff>127635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747C185-B0ED-4BDF-838E-FBFB68963A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90700"/>
              <a:ext cx="1781735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214425</xdr:colOff>
      <xdr:row>6</xdr:row>
      <xdr:rowOff>18826</xdr:rowOff>
    </xdr:from>
    <xdr:to>
      <xdr:col>9</xdr:col>
      <xdr:colOff>176452</xdr:colOff>
      <xdr:row>13</xdr:row>
      <xdr:rowOff>93233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C6FE212-DCEF-37B7-3070-A4380B604740}"/>
            </a:ext>
          </a:extLst>
        </xdr:cNvPr>
        <xdr:cNvGrpSpPr/>
      </xdr:nvGrpSpPr>
      <xdr:grpSpPr>
        <a:xfrm>
          <a:off x="2043225" y="1336638"/>
          <a:ext cx="4578851" cy="1517724"/>
          <a:chOff x="1930717" y="1043940"/>
          <a:chExt cx="4604400" cy="153162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CD4756C-0084-3706-9CA9-18AD00BA4E16}"/>
              </a:ext>
            </a:extLst>
          </xdr:cNvPr>
          <xdr:cNvSpPr/>
        </xdr:nvSpPr>
        <xdr:spPr>
          <a:xfrm>
            <a:off x="1930717" y="1043940"/>
            <a:ext cx="4604400" cy="1531620"/>
          </a:xfrm>
          <a:prstGeom prst="roundRect">
            <a:avLst>
              <a:gd name="adj" fmla="val 970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Calcs!D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F0E9A99-CE19-44CE-AC3C-CE854641BB80}"/>
              </a:ext>
            </a:extLst>
          </xdr:cNvPr>
          <xdr:cNvSpPr/>
        </xdr:nvSpPr>
        <xdr:spPr>
          <a:xfrm>
            <a:off x="3093720" y="1504950"/>
            <a:ext cx="2506980" cy="731520"/>
          </a:xfrm>
          <a:prstGeom prst="roundRect">
            <a:avLst>
              <a:gd name="adj" fmla="val 970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E01F940-8C16-405A-A622-BD16C6CAEF05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3600" b="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C54BDB9-F475-48F0-92AD-DC4176DF78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8820" y="1287780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054D6E54-A5DB-67BA-6497-CE3D21D08BE4}"/>
              </a:ext>
            </a:extLst>
          </xdr:cNvPr>
          <xdr:cNvSpPr/>
        </xdr:nvSpPr>
        <xdr:spPr>
          <a:xfrm>
            <a:off x="1930717" y="1043940"/>
            <a:ext cx="4604400" cy="365760"/>
          </a:xfrm>
          <a:prstGeom prst="round2SameRect">
            <a:avLst/>
          </a:prstGeom>
          <a:gradFill flip="none" rotWithShape="1"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b="1">
                <a:latin typeface="Segoe UI" panose="020B0502040204020203" pitchFamily="34" charset="0"/>
                <a:cs typeface="Segoe UI" panose="020B0502040204020203" pitchFamily="34" charset="0"/>
              </a:rPr>
              <a:t>EA PLAY SEASON PASS REVENUE</a:t>
            </a:r>
            <a:endParaRPr lang="pt-BR" sz="1100" b="1" baseline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329774</xdr:colOff>
      <xdr:row>6</xdr:row>
      <xdr:rowOff>18826</xdr:rowOff>
    </xdr:from>
    <xdr:to>
      <xdr:col>17</xdr:col>
      <xdr:colOff>30815</xdr:colOff>
      <xdr:row>13</xdr:row>
      <xdr:rowOff>93233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4A71D919-B621-DB08-4C64-F20B7310359B}"/>
            </a:ext>
          </a:extLst>
        </xdr:cNvPr>
        <xdr:cNvGrpSpPr/>
      </xdr:nvGrpSpPr>
      <xdr:grpSpPr>
        <a:xfrm>
          <a:off x="6775398" y="1336638"/>
          <a:ext cx="4577841" cy="1517724"/>
          <a:chOff x="6682740" y="1043940"/>
          <a:chExt cx="4604400" cy="1531620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175219A0-9F4A-AFFF-18CA-EBFAAEF7A1D4}"/>
              </a:ext>
            </a:extLst>
          </xdr:cNvPr>
          <xdr:cNvSpPr/>
        </xdr:nvSpPr>
        <xdr:spPr>
          <a:xfrm>
            <a:off x="6682740" y="1043940"/>
            <a:ext cx="4604400" cy="1531620"/>
          </a:xfrm>
          <a:prstGeom prst="roundRect">
            <a:avLst>
              <a:gd name="adj" fmla="val 970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Calcs!D36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F31E3F2E-ED68-F951-9B4A-625965F4A822}"/>
              </a:ext>
            </a:extLst>
          </xdr:cNvPr>
          <xdr:cNvSpPr/>
        </xdr:nvSpPr>
        <xdr:spPr>
          <a:xfrm>
            <a:off x="8292941" y="1554956"/>
            <a:ext cx="2506980" cy="731520"/>
          </a:xfrm>
          <a:prstGeom prst="roundRect">
            <a:avLst>
              <a:gd name="adj" fmla="val 970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1701F620-C1DB-40AC-B6E3-6A88CC6E2103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R$ 3.880,00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FAEA9DAD-7B72-FE3C-2A53-A6819250B819}"/>
              </a:ext>
            </a:extLst>
          </xdr:cNvPr>
          <xdr:cNvSpPr/>
        </xdr:nvSpPr>
        <xdr:spPr>
          <a:xfrm>
            <a:off x="6682740" y="1043940"/>
            <a:ext cx="4604400" cy="365760"/>
          </a:xfrm>
          <a:prstGeom prst="round2SameRect">
            <a:avLst/>
          </a:prstGeom>
          <a:gradFill flip="none" rotWithShape="1"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b="1">
                <a:latin typeface="Segoe UI" panose="020B0502040204020203" pitchFamily="34" charset="0"/>
                <a:cs typeface="Segoe UI" panose="020B0502040204020203" pitchFamily="34" charset="0"/>
              </a:rPr>
              <a:t>MINECRAFT SEASON PASS REVENUE</a:t>
            </a:r>
            <a:endParaRPr lang="pt-BR" sz="11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A8457C9-271F-46F1-9F93-5A38A48ADADC}"/>
              </a:ext>
            </a:extLst>
          </xdr:cNvPr>
          <xdr:cNvGrpSpPr/>
        </xdr:nvGrpSpPr>
        <xdr:grpSpPr>
          <a:xfrm>
            <a:off x="6798113" y="1554956"/>
            <a:ext cx="1549476" cy="72199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79DE7BAD-05FF-B22E-34F2-520B468D5D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gradFill flip="none" rotWithShape="1">
              <a:gsLst>
                <a:gs pos="100000">
                  <a:srgbClr val="9BC848"/>
                </a:gs>
                <a:gs pos="52000">
                  <a:srgbClr val="22C55E">
                    <a:lumMod val="100000"/>
                  </a:srgbClr>
                </a:gs>
                <a:gs pos="16000">
                  <a:srgbClr val="35EAAF"/>
                </a:gs>
              </a:gsLst>
              <a:lin ang="0" scaled="1"/>
              <a:tileRect/>
            </a:gradFill>
            <a:ln>
              <a:noFill/>
            </a:ln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9AB599B9-5651-E489-1E6A-D9A2FAC88F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159947</xdr:colOff>
      <xdr:row>23</xdr:row>
      <xdr:rowOff>144331</xdr:rowOff>
    </xdr:from>
    <xdr:to>
      <xdr:col>16</xdr:col>
      <xdr:colOff>455600</xdr:colOff>
      <xdr:row>42</xdr:row>
      <xdr:rowOff>38996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2397270-46B2-028F-7A8C-2DE645DF7329}"/>
            </a:ext>
          </a:extLst>
        </xdr:cNvPr>
        <xdr:cNvGrpSpPr/>
      </xdr:nvGrpSpPr>
      <xdr:grpSpPr>
        <a:xfrm>
          <a:off x="1988747" y="4698402"/>
          <a:ext cx="9305182" cy="3301253"/>
          <a:chOff x="2056431" y="2821193"/>
          <a:chExt cx="9260358" cy="336579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BB976EE-D2DF-A820-C05D-48A979E4A339}"/>
              </a:ext>
            </a:extLst>
          </xdr:cNvPr>
          <xdr:cNvGrpSpPr/>
        </xdr:nvGrpSpPr>
        <xdr:grpSpPr>
          <a:xfrm>
            <a:off x="2056431" y="2821193"/>
            <a:ext cx="9260358" cy="3365799"/>
            <a:chOff x="2449830" y="1066800"/>
            <a:chExt cx="4602480" cy="291846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04A4499-AAFC-27AA-813D-329D276FCC5E}"/>
                </a:ext>
              </a:extLst>
            </xdr:cNvPr>
            <xdr:cNvSpPr/>
          </xdr:nvSpPr>
          <xdr:spPr>
            <a:xfrm>
              <a:off x="2449830" y="1066800"/>
              <a:ext cx="4602480" cy="2918460"/>
            </a:xfrm>
            <a:prstGeom prst="roundRect">
              <a:avLst>
                <a:gd name="adj" fmla="val 413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9D5E517-D994-410A-AE1E-6536897EA83A}"/>
                </a:ext>
              </a:extLst>
            </xdr:cNvPr>
            <xdr:cNvGraphicFramePr>
              <a:graphicFrameLocks/>
            </xdr:cNvGraphicFramePr>
          </xdr:nvGraphicFramePr>
          <xdr:xfrm>
            <a:off x="2465070" y="115824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12CD1592-6990-4A34-A5F7-9C7F6221366B}"/>
              </a:ext>
            </a:extLst>
          </xdr:cNvPr>
          <xdr:cNvSpPr/>
        </xdr:nvSpPr>
        <xdr:spPr>
          <a:xfrm>
            <a:off x="2057011" y="2821193"/>
            <a:ext cx="9259199" cy="367897"/>
          </a:xfrm>
          <a:prstGeom prst="round2SameRect">
            <a:avLst/>
          </a:prstGeom>
          <a:gradFill flip="none" rotWithShape="1"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b="1">
                <a:latin typeface="Segoe UI" panose="020B0502040204020203" pitchFamily="34" charset="0"/>
                <a:cs typeface="Segoe UI" panose="020B0502040204020203" pitchFamily="34" charset="0"/>
              </a:rPr>
              <a:t>ANNUAL REVENUE BY AUTO RENEWAL</a:t>
            </a:r>
            <a:endParaRPr lang="pt-BR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marL="0" indent="0" algn="ctr"/>
            <a:endParaRPr lang="pt-BR" sz="11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614073</xdr:colOff>
      <xdr:row>1</xdr:row>
      <xdr:rowOff>9526</xdr:rowOff>
    </xdr:from>
    <xdr:to>
      <xdr:col>0</xdr:col>
      <xdr:colOff>1190073</xdr:colOff>
      <xdr:row>2</xdr:row>
      <xdr:rowOff>170908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98AD7D99-5439-47B4-8AC7-C55D9323C0B1}"/>
            </a:ext>
          </a:extLst>
        </xdr:cNvPr>
        <xdr:cNvSpPr/>
      </xdr:nvSpPr>
      <xdr:spPr>
        <a:xfrm>
          <a:off x="614073" y="192406"/>
          <a:ext cx="576000" cy="57286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112059</xdr:colOff>
      <xdr:row>2</xdr:row>
      <xdr:rowOff>302559</xdr:rowOff>
    </xdr:from>
    <xdr:to>
      <xdr:col>0</xdr:col>
      <xdr:colOff>1692088</xdr:colOff>
      <xdr:row>4</xdr:row>
      <xdr:rowOff>86958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D6C849CF-3AC6-8979-6A83-32E01EE2E995}"/>
            </a:ext>
          </a:extLst>
        </xdr:cNvPr>
        <xdr:cNvSpPr/>
      </xdr:nvSpPr>
      <xdr:spPr>
        <a:xfrm>
          <a:off x="112059" y="896919"/>
          <a:ext cx="1580029" cy="241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n>
                <a:noFill/>
              </a:ln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&gt; Welcome</a:t>
          </a:r>
          <a:r>
            <a:rPr lang="pt-BR" sz="1200" b="1" baseline="0">
              <a:ln>
                <a:noFill/>
              </a:ln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, Paula</a:t>
          </a:r>
        </a:p>
      </xdr:txBody>
    </xdr:sp>
    <xdr:clientData/>
  </xdr:twoCellAnchor>
  <xdr:twoCellAnchor editAs="absolute">
    <xdr:from>
      <xdr:col>1</xdr:col>
      <xdr:colOff>137160</xdr:colOff>
      <xdr:row>3</xdr:row>
      <xdr:rowOff>91440</xdr:rowOff>
    </xdr:from>
    <xdr:to>
      <xdr:col>8</xdr:col>
      <xdr:colOff>121920</xdr:colOff>
      <xdr:row>5</xdr:row>
      <xdr:rowOff>76200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7B5EB04-50B6-4CFB-9AC6-11065A012143}"/>
            </a:ext>
          </a:extLst>
        </xdr:cNvPr>
        <xdr:cNvSpPr/>
      </xdr:nvSpPr>
      <xdr:spPr>
        <a:xfrm>
          <a:off x="1965960" y="1005840"/>
          <a:ext cx="395478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900" b="0">
              <a:solidFill>
                <a:schemeClr val="bg2">
                  <a:lumMod val="50000"/>
                </a:schemeClr>
              </a:solidFill>
            </a:rPr>
            <a:t>Analysis</a:t>
          </a:r>
          <a:r>
            <a:rPr lang="pt-BR" sz="900" b="0" baseline="0">
              <a:solidFill>
                <a:schemeClr val="bg2">
                  <a:lumMod val="50000"/>
                </a:schemeClr>
              </a:solidFill>
            </a:rPr>
            <a:t> Period</a:t>
          </a:r>
          <a:r>
            <a:rPr lang="pt-BR" sz="900" b="0">
              <a:solidFill>
                <a:schemeClr val="bg2">
                  <a:lumMod val="50000"/>
                </a:schemeClr>
              </a:solidFill>
            </a:rPr>
            <a:t>: 01/01/2024 - 31/12/2024 | Last Update: 23/09/2026</a:t>
          </a:r>
          <a:endParaRPr lang="pt-BR" sz="900" b="0" baseline="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235323</xdr:colOff>
      <xdr:row>29</xdr:row>
      <xdr:rowOff>167640</xdr:rowOff>
    </xdr:from>
    <xdr:to>
      <xdr:col>0</xdr:col>
      <xdr:colOff>1568823</xdr:colOff>
      <xdr:row>35</xdr:row>
      <xdr:rowOff>7144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47B0BCC4-B020-F42D-8872-5B25D13AF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323" y="5875020"/>
          <a:ext cx="1333500" cy="936784"/>
        </a:xfrm>
        <a:prstGeom prst="rect">
          <a:avLst/>
        </a:prstGeom>
        <a:noFill/>
        <a:effectLst>
          <a:glow rad="635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6350" stA="0" endPos="35000" dir="5400000" sy="-100000" algn="bl" rotWithShape="0"/>
        </a:effectLst>
      </xdr:spPr>
    </xdr:pic>
    <xdr:clientData/>
  </xdr:twoCellAnchor>
  <xdr:twoCellAnchor editAs="oneCell">
    <xdr:from>
      <xdr:col>8</xdr:col>
      <xdr:colOff>402516</xdr:colOff>
      <xdr:row>1</xdr:row>
      <xdr:rowOff>137160</xdr:rowOff>
    </xdr:from>
    <xdr:to>
      <xdr:col>9</xdr:col>
      <xdr:colOff>11206</xdr:colOff>
      <xdr:row>1</xdr:row>
      <xdr:rowOff>373380</xdr:rowOff>
    </xdr:to>
    <xdr:pic>
      <xdr:nvPicPr>
        <xdr:cNvPr id="37" name="Imagem 36" descr="Subscription - Free business icons">
          <a:extLst>
            <a:ext uri="{FF2B5EF4-FFF2-40B4-BE49-F238E27FC236}">
              <a16:creationId xmlns:a16="http://schemas.microsoft.com/office/drawing/2014/main" id="{F5F9A142-D582-1B71-590A-9C2325BA0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0610" y="316454"/>
          <a:ext cx="236220" cy="236220"/>
        </a:xfrm>
        <a:prstGeom prst="rect">
          <a:avLst/>
        </a:prstGeom>
        <a:noFill/>
        <a:effectLst>
          <a:glow rad="12700">
            <a:schemeClr val="accent6">
              <a:satMod val="175000"/>
              <a:alpha val="48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421342</xdr:colOff>
      <xdr:row>14</xdr:row>
      <xdr:rowOff>71717</xdr:rowOff>
    </xdr:from>
    <xdr:to>
      <xdr:col>12</xdr:col>
      <xdr:colOff>607487</xdr:colOff>
      <xdr:row>22</xdr:row>
      <xdr:rowOff>155089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A12A71E7-5A9B-4823-DD97-1D8AB2F78A86}"/>
            </a:ext>
          </a:extLst>
        </xdr:cNvPr>
        <xdr:cNvGrpSpPr/>
      </xdr:nvGrpSpPr>
      <xdr:grpSpPr>
        <a:xfrm>
          <a:off x="4356848" y="3012141"/>
          <a:ext cx="4578851" cy="1517724"/>
          <a:chOff x="4356848" y="3012141"/>
          <a:chExt cx="4578851" cy="1517724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D913907-CCF9-5F51-B27F-B7F37D7CBCE9}"/>
              </a:ext>
            </a:extLst>
          </xdr:cNvPr>
          <xdr:cNvSpPr/>
        </xdr:nvSpPr>
        <xdr:spPr>
          <a:xfrm>
            <a:off x="4356848" y="3012141"/>
            <a:ext cx="4578851" cy="1517724"/>
          </a:xfrm>
          <a:prstGeom prst="roundRect">
            <a:avLst>
              <a:gd name="adj" fmla="val 970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Calcs!D14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A3DA22A2-92DC-5D3C-1569-F095958822B2}"/>
              </a:ext>
            </a:extLst>
          </xdr:cNvPr>
          <xdr:cNvSpPr/>
        </xdr:nvSpPr>
        <xdr:spPr>
          <a:xfrm>
            <a:off x="5104343" y="3543032"/>
            <a:ext cx="3065930" cy="724883"/>
          </a:xfrm>
          <a:prstGeom prst="roundRect">
            <a:avLst>
              <a:gd name="adj" fmla="val 970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AAC6691-13E2-48EE-B9D6-DDB4207E84C8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R$ 1.754,00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5</xdr:col>
      <xdr:colOff>421342</xdr:colOff>
      <xdr:row>14</xdr:row>
      <xdr:rowOff>71717</xdr:rowOff>
    </xdr:from>
    <xdr:to>
      <xdr:col>12</xdr:col>
      <xdr:colOff>607487</xdr:colOff>
      <xdr:row>16</xdr:row>
      <xdr:rowOff>75571</xdr:rowOff>
    </xdr:to>
    <xdr:sp macro="" textlink="">
      <xdr:nvSpPr>
        <xdr:cNvPr id="28" name="Retângulo: Cantos Superiores Arredondados 27">
          <a:extLst>
            <a:ext uri="{FF2B5EF4-FFF2-40B4-BE49-F238E27FC236}">
              <a16:creationId xmlns:a16="http://schemas.microsoft.com/office/drawing/2014/main" id="{00C5D7F4-5D58-3224-DC1E-043A46A83CA2}"/>
            </a:ext>
          </a:extLst>
        </xdr:cNvPr>
        <xdr:cNvSpPr/>
      </xdr:nvSpPr>
      <xdr:spPr>
        <a:xfrm>
          <a:off x="4356848" y="3012141"/>
          <a:ext cx="4578851" cy="362442"/>
        </a:xfrm>
        <a:prstGeom prst="round2SameRect">
          <a:avLst/>
        </a:prstGeom>
        <a:gradFill flip="none" rotWithShape="1">
          <a:gsLst>
            <a:gs pos="100000">
              <a:srgbClr val="9BC848"/>
            </a:gs>
            <a:gs pos="52000">
              <a:srgbClr val="22C55E">
                <a:lumMod val="100000"/>
              </a:srgbClr>
            </a:gs>
            <a:gs pos="16000">
              <a:srgbClr val="35EA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ANNUAL</a:t>
          </a:r>
          <a:r>
            <a:rPr lang="pt-BR"/>
            <a:t> </a:t>
          </a:r>
          <a:r>
            <a:rPr lang="pt-BR" sz="11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SUBSCRIPTION</a:t>
          </a:r>
          <a:r>
            <a:rPr lang="pt-BR"/>
            <a:t> </a:t>
          </a:r>
          <a:r>
            <a:rPr lang="pt-BR" sz="11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REVENUE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188540</xdr:colOff>
      <xdr:row>0</xdr:row>
      <xdr:rowOff>144084</xdr:rowOff>
    </xdr:from>
    <xdr:to>
      <xdr:col>2</xdr:col>
      <xdr:colOff>540423</xdr:colOff>
      <xdr:row>2</xdr:row>
      <xdr:rowOff>103584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A55D87-0D9B-4037-92FB-900B9225D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0" t="20325" r="72277" b="21604"/>
        <a:stretch>
          <a:fillRect/>
        </a:stretch>
      </xdr:blipFill>
      <xdr:spPr>
        <a:xfrm>
          <a:off x="2017340" y="144084"/>
          <a:ext cx="572863" cy="553860"/>
        </a:xfrm>
        <a:prstGeom prst="rect">
          <a:avLst/>
        </a:prstGeom>
        <a:noFill/>
        <a:effectLst>
          <a:glow rad="635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endPos="33000" dir="5400000" sy="-100000" algn="bl" rotWithShape="0"/>
        </a:effectLst>
      </xdr:spPr>
    </xdr:pic>
    <xdr:clientData/>
  </xdr:twoCellAnchor>
  <xdr:twoCellAnchor>
    <xdr:from>
      <xdr:col>1</xdr:col>
      <xdr:colOff>111455</xdr:colOff>
      <xdr:row>6</xdr:row>
      <xdr:rowOff>73713</xdr:rowOff>
    </xdr:from>
    <xdr:to>
      <xdr:col>15</xdr:col>
      <xdr:colOff>571500</xdr:colOff>
      <xdr:row>13</xdr:row>
      <xdr:rowOff>143407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D14A272C-DF9D-AE28-25BE-1899C7A5F19B}"/>
            </a:ext>
          </a:extLst>
        </xdr:cNvPr>
        <xdr:cNvGrpSpPr/>
      </xdr:nvGrpSpPr>
      <xdr:grpSpPr>
        <a:xfrm>
          <a:off x="1942372" y="1396630"/>
          <a:ext cx="8799711" cy="1519610"/>
          <a:chOff x="1933177" y="1016468"/>
          <a:chExt cx="4521492" cy="1540777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12C39051-7BFD-555D-1D38-380E2C6CCE0C}"/>
              </a:ext>
            </a:extLst>
          </xdr:cNvPr>
          <xdr:cNvGrpSpPr/>
        </xdr:nvGrpSpPr>
        <xdr:grpSpPr>
          <a:xfrm>
            <a:off x="1933177" y="1016468"/>
            <a:ext cx="4521492" cy="1540777"/>
            <a:chOff x="1933177" y="1016468"/>
            <a:chExt cx="4521492" cy="1540777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570D676C-B547-33C4-2D84-B01823B3D51B}"/>
                </a:ext>
              </a:extLst>
            </xdr:cNvPr>
            <xdr:cNvSpPr/>
          </xdr:nvSpPr>
          <xdr:spPr>
            <a:xfrm>
              <a:off x="1933177" y="1016468"/>
              <a:ext cx="4521492" cy="1540777"/>
            </a:xfrm>
            <a:prstGeom prst="roundRect">
              <a:avLst>
                <a:gd name="adj" fmla="val 97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/>
            </a:p>
          </xdr:txBody>
        </xdr:sp>
        <xdr:sp macro="" textlink="Calcs!D49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DA64A640-31D8-24EC-CAE7-E7FF0B2451C5}"/>
                </a:ext>
              </a:extLst>
            </xdr:cNvPr>
            <xdr:cNvSpPr/>
          </xdr:nvSpPr>
          <xdr:spPr>
            <a:xfrm>
              <a:off x="2404999" y="1563196"/>
              <a:ext cx="3406639" cy="735893"/>
            </a:xfrm>
            <a:prstGeom prst="roundRect">
              <a:avLst>
                <a:gd name="adj" fmla="val 97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2ABFF4B7-E241-4B25-ACB8-1D4A7049B044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R$ 7.633,00</a:t>
              </a:fld>
              <a:endParaRPr lang="pt-BR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62CE6FFB-5E83-13C7-C002-9515D1D76637}"/>
              </a:ext>
            </a:extLst>
          </xdr:cNvPr>
          <xdr:cNvSpPr/>
        </xdr:nvSpPr>
        <xdr:spPr>
          <a:xfrm>
            <a:off x="1933177" y="1016468"/>
            <a:ext cx="4521492" cy="367947"/>
          </a:xfrm>
          <a:prstGeom prst="round2SameRect">
            <a:avLst/>
          </a:prstGeom>
          <a:gradFill flip="none" rotWithShape="1"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baseline="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 BY PLAN</a:t>
            </a:r>
          </a:p>
        </xdr:txBody>
      </xdr:sp>
    </xdr:grpSp>
    <xdr:clientData/>
  </xdr:twoCellAnchor>
  <xdr:twoCellAnchor>
    <xdr:from>
      <xdr:col>0</xdr:col>
      <xdr:colOff>614073</xdr:colOff>
      <xdr:row>1</xdr:row>
      <xdr:rowOff>9526</xdr:rowOff>
    </xdr:from>
    <xdr:to>
      <xdr:col>0</xdr:col>
      <xdr:colOff>1190073</xdr:colOff>
      <xdr:row>2</xdr:row>
      <xdr:rowOff>170908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EDF47D64-FD91-4191-82D8-E842A2558224}"/>
            </a:ext>
          </a:extLst>
        </xdr:cNvPr>
        <xdr:cNvSpPr/>
      </xdr:nvSpPr>
      <xdr:spPr>
        <a:xfrm>
          <a:off x="614073" y="192406"/>
          <a:ext cx="576000" cy="572862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112059</xdr:colOff>
      <xdr:row>2</xdr:row>
      <xdr:rowOff>302559</xdr:rowOff>
    </xdr:from>
    <xdr:to>
      <xdr:col>0</xdr:col>
      <xdr:colOff>1692088</xdr:colOff>
      <xdr:row>4</xdr:row>
      <xdr:rowOff>86958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B4180CA9-EB5A-4463-AFEA-47FA233C2D8B}"/>
            </a:ext>
          </a:extLst>
        </xdr:cNvPr>
        <xdr:cNvSpPr/>
      </xdr:nvSpPr>
      <xdr:spPr>
        <a:xfrm>
          <a:off x="112059" y="896919"/>
          <a:ext cx="1580029" cy="241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n>
                <a:noFill/>
              </a:ln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&gt; Welcome</a:t>
          </a:r>
          <a:r>
            <a:rPr lang="pt-BR" sz="1200" b="1" baseline="0">
              <a:ln>
                <a:noFill/>
              </a:ln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, Paula</a:t>
          </a:r>
        </a:p>
      </xdr:txBody>
    </xdr:sp>
    <xdr:clientData/>
  </xdr:twoCellAnchor>
  <xdr:twoCellAnchor editAs="absolute">
    <xdr:from>
      <xdr:col>0</xdr:col>
      <xdr:colOff>235323</xdr:colOff>
      <xdr:row>29</xdr:row>
      <xdr:rowOff>167640</xdr:rowOff>
    </xdr:from>
    <xdr:to>
      <xdr:col>0</xdr:col>
      <xdr:colOff>1568823</xdr:colOff>
      <xdr:row>35</xdr:row>
      <xdr:rowOff>7144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932E9088-9861-4262-9021-4452CC65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323" y="5875020"/>
          <a:ext cx="1333500" cy="936784"/>
        </a:xfrm>
        <a:prstGeom prst="rect">
          <a:avLst/>
        </a:prstGeom>
        <a:noFill/>
        <a:effectLst>
          <a:glow rad="635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6350" stA="0" endPos="35000" dir="5400000" sy="-100000" algn="bl" rotWithShape="0"/>
        </a:effectLst>
      </xdr:spPr>
    </xdr:pic>
    <xdr:clientData/>
  </xdr:twoCellAnchor>
  <xdr:twoCellAnchor editAs="absolute">
    <xdr:from>
      <xdr:col>8</xdr:col>
      <xdr:colOff>620230</xdr:colOff>
      <xdr:row>1</xdr:row>
      <xdr:rowOff>148045</xdr:rowOff>
    </xdr:from>
    <xdr:to>
      <xdr:col>9</xdr:col>
      <xdr:colOff>228920</xdr:colOff>
      <xdr:row>1</xdr:row>
      <xdr:rowOff>384265</xdr:rowOff>
    </xdr:to>
    <xdr:pic>
      <xdr:nvPicPr>
        <xdr:cNvPr id="25" name="Imagem 24" descr="Subscription - Free business icons">
          <a:extLst>
            <a:ext uri="{FF2B5EF4-FFF2-40B4-BE49-F238E27FC236}">
              <a16:creationId xmlns:a16="http://schemas.microsoft.com/office/drawing/2014/main" id="{A0D6AB03-B92E-4861-A4F7-BF43B0EE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9659" y="333102"/>
          <a:ext cx="229175" cy="236220"/>
        </a:xfrm>
        <a:prstGeom prst="rect">
          <a:avLst/>
        </a:prstGeom>
        <a:noFill/>
        <a:effectLst>
          <a:glow rad="12700">
            <a:schemeClr val="accent6">
              <a:satMod val="175000"/>
              <a:alpha val="48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111455</xdr:colOff>
      <xdr:row>14</xdr:row>
      <xdr:rowOff>40378</xdr:rowOff>
    </xdr:from>
    <xdr:to>
      <xdr:col>8</xdr:col>
      <xdr:colOff>490826</xdr:colOff>
      <xdr:row>27</xdr:row>
      <xdr:rowOff>154634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C038E0A8-E3D0-4ECD-A64D-1A7E9DA38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8</xdr:col>
      <xdr:colOff>588078</xdr:colOff>
      <xdr:row>14</xdr:row>
      <xdr:rowOff>40378</xdr:rowOff>
    </xdr:from>
    <xdr:to>
      <xdr:col>15</xdr:col>
      <xdr:colOff>564678</xdr:colOff>
      <xdr:row>27</xdr:row>
      <xdr:rowOff>154634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7DAB8353-3716-4DC9-8344-E3CC90051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16</xdr:col>
      <xdr:colOff>34401</xdr:colOff>
      <xdr:row>14</xdr:row>
      <xdr:rowOff>40378</xdr:rowOff>
    </xdr:from>
    <xdr:to>
      <xdr:col>23</xdr:col>
      <xdr:colOff>217829</xdr:colOff>
      <xdr:row>27</xdr:row>
      <xdr:rowOff>154634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C614E45-6EE5-42C5-9969-4B1338170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23</xdr:col>
      <xdr:colOff>315081</xdr:colOff>
      <xdr:row>14</xdr:row>
      <xdr:rowOff>43259</xdr:rowOff>
    </xdr:from>
    <xdr:to>
      <xdr:col>30</xdr:col>
      <xdr:colOff>367881</xdr:colOff>
      <xdr:row>27</xdr:row>
      <xdr:rowOff>151752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7ACD4BFD-649B-48A7-8080-4B6442DA3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23</xdr:col>
      <xdr:colOff>325967</xdr:colOff>
      <xdr:row>6</xdr:row>
      <xdr:rowOff>75826</xdr:rowOff>
    </xdr:from>
    <xdr:to>
      <xdr:col>30</xdr:col>
      <xdr:colOff>428073</xdr:colOff>
      <xdr:row>13</xdr:row>
      <xdr:rowOff>145520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88D90D5F-BC79-7600-572C-F3F88EF77D21}"/>
            </a:ext>
          </a:extLst>
        </xdr:cNvPr>
        <xdr:cNvGrpSpPr/>
      </xdr:nvGrpSpPr>
      <xdr:grpSpPr>
        <a:xfrm>
          <a:off x="15280217" y="1398743"/>
          <a:ext cx="4398939" cy="1519610"/>
          <a:chOff x="15174686" y="1021976"/>
          <a:chExt cx="4369306" cy="1540777"/>
        </a:xfrm>
      </xdr:grpSpPr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F885BF52-4354-29F4-ABE4-67B1BE4D72B7}"/>
              </a:ext>
            </a:extLst>
          </xdr:cNvPr>
          <xdr:cNvSpPr/>
        </xdr:nvSpPr>
        <xdr:spPr>
          <a:xfrm>
            <a:off x="15174686" y="1021976"/>
            <a:ext cx="4369306" cy="1540777"/>
          </a:xfrm>
          <a:prstGeom prst="roundRect">
            <a:avLst>
              <a:gd name="adj" fmla="val 970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Calcs!D91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4E32003B-5155-4242-82A3-A86618DCD184}"/>
              </a:ext>
            </a:extLst>
          </xdr:cNvPr>
          <xdr:cNvSpPr/>
        </xdr:nvSpPr>
        <xdr:spPr>
          <a:xfrm>
            <a:off x="16885684" y="1627076"/>
            <a:ext cx="2529305" cy="734728"/>
          </a:xfrm>
          <a:prstGeom prst="roundRect">
            <a:avLst>
              <a:gd name="adj" fmla="val 970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37F4EB4E-7E7C-44CE-87CA-2E5DA70F2DC8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R$ 832,00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53" name="Retângulo: Cantos Superiores Arredondados 52">
            <a:extLst>
              <a:ext uri="{FF2B5EF4-FFF2-40B4-BE49-F238E27FC236}">
                <a16:creationId xmlns:a16="http://schemas.microsoft.com/office/drawing/2014/main" id="{86C50E6B-5744-EF19-C0EB-D43E6A7BBA15}"/>
              </a:ext>
            </a:extLst>
          </xdr:cNvPr>
          <xdr:cNvSpPr/>
        </xdr:nvSpPr>
        <xdr:spPr>
          <a:xfrm>
            <a:off x="15174686" y="1021976"/>
            <a:ext cx="4369306" cy="380515"/>
          </a:xfrm>
          <a:prstGeom prst="round2SameRect">
            <a:avLst/>
          </a:prstGeom>
          <a:gradFill flip="none" rotWithShape="1"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baseline="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TOP REVENUE MONTH</a:t>
            </a:r>
          </a:p>
        </xdr:txBody>
      </xdr:sp>
      <xdr:sp macro="" textlink="Calcs!B91">
        <xdr:nvSpPr>
          <xdr:cNvPr id="56" name="Retângulo: Cantos Arredondados 55">
            <a:extLst>
              <a:ext uri="{FF2B5EF4-FFF2-40B4-BE49-F238E27FC236}">
                <a16:creationId xmlns:a16="http://schemas.microsoft.com/office/drawing/2014/main" id="{6A05EBAA-257B-4D87-90FB-2B15B727948A}"/>
              </a:ext>
            </a:extLst>
          </xdr:cNvPr>
          <xdr:cNvSpPr/>
        </xdr:nvSpPr>
        <xdr:spPr>
          <a:xfrm>
            <a:off x="15461557" y="1627076"/>
            <a:ext cx="1237129" cy="734728"/>
          </a:xfrm>
          <a:prstGeom prst="roundRect">
            <a:avLst>
              <a:gd name="adj" fmla="val 970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E01AA364-50F1-497F-A171-E0026E717F13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out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57" name="Retângulo: Cantos Arredondados 56">
            <a:extLst>
              <a:ext uri="{FF2B5EF4-FFF2-40B4-BE49-F238E27FC236}">
                <a16:creationId xmlns:a16="http://schemas.microsoft.com/office/drawing/2014/main" id="{A9CDBA95-FDB4-4FBA-A271-016CD6916B07}"/>
              </a:ext>
            </a:extLst>
          </xdr:cNvPr>
          <xdr:cNvSpPr/>
        </xdr:nvSpPr>
        <xdr:spPr>
          <a:xfrm>
            <a:off x="15461557" y="1433071"/>
            <a:ext cx="1237129" cy="325931"/>
          </a:xfrm>
          <a:prstGeom prst="roundRect">
            <a:avLst>
              <a:gd name="adj" fmla="val 970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4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t>Month</a:t>
            </a:r>
          </a:p>
        </xdr:txBody>
      </xdr:sp>
      <xdr:sp macro="" textlink="">
        <xdr:nvSpPr>
          <xdr:cNvPr id="58" name="Retângulo: Cantos Arredondados 57">
            <a:extLst>
              <a:ext uri="{FF2B5EF4-FFF2-40B4-BE49-F238E27FC236}">
                <a16:creationId xmlns:a16="http://schemas.microsoft.com/office/drawing/2014/main" id="{1C75EEA4-841F-4686-A9C2-89DD2D82BE4E}"/>
              </a:ext>
            </a:extLst>
          </xdr:cNvPr>
          <xdr:cNvSpPr/>
        </xdr:nvSpPr>
        <xdr:spPr>
          <a:xfrm>
            <a:off x="17531772" y="1433071"/>
            <a:ext cx="1237129" cy="325931"/>
          </a:xfrm>
          <a:prstGeom prst="roundRect">
            <a:avLst>
              <a:gd name="adj" fmla="val 970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4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t>Value</a:t>
            </a:r>
          </a:p>
        </xdr:txBody>
      </xdr:sp>
    </xdr:grpSp>
    <xdr:clientData/>
  </xdr:twoCellAnchor>
  <xdr:twoCellAnchor editAs="absolute">
    <xdr:from>
      <xdr:col>16</xdr:col>
      <xdr:colOff>41659</xdr:colOff>
      <xdr:row>6</xdr:row>
      <xdr:rowOff>77107</xdr:rowOff>
    </xdr:from>
    <xdr:to>
      <xdr:col>23</xdr:col>
      <xdr:colOff>225087</xdr:colOff>
      <xdr:row>14</xdr:row>
      <xdr:rowOff>65799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C46512FA-3E46-54FA-43C6-EF5C199272AD}"/>
            </a:ext>
          </a:extLst>
        </xdr:cNvPr>
        <xdr:cNvGrpSpPr/>
      </xdr:nvGrpSpPr>
      <xdr:grpSpPr>
        <a:xfrm>
          <a:off x="10836659" y="1400024"/>
          <a:ext cx="4342678" cy="1618525"/>
          <a:chOff x="10753806" y="1023257"/>
          <a:chExt cx="4320000" cy="1644832"/>
        </a:xfrm>
      </xdr:grpSpPr>
      <xdr:sp macro="" textlink="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14B4E635-C8F3-7530-2AC4-5B81F0A349AC}"/>
              </a:ext>
            </a:extLst>
          </xdr:cNvPr>
          <xdr:cNvSpPr/>
        </xdr:nvSpPr>
        <xdr:spPr>
          <a:xfrm>
            <a:off x="10753806" y="1023257"/>
            <a:ext cx="4320000" cy="1540777"/>
          </a:xfrm>
          <a:prstGeom prst="roundRect">
            <a:avLst>
              <a:gd name="adj" fmla="val 970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">
        <xdr:nvSpPr>
          <xdr:cNvPr id="47" name="Retângulo: Cantos Superiores Arredondados 46">
            <a:extLst>
              <a:ext uri="{FF2B5EF4-FFF2-40B4-BE49-F238E27FC236}">
                <a16:creationId xmlns:a16="http://schemas.microsoft.com/office/drawing/2014/main" id="{356FC139-ED6D-AA63-4FE1-5A1BFC31AAC8}"/>
              </a:ext>
            </a:extLst>
          </xdr:cNvPr>
          <xdr:cNvSpPr/>
        </xdr:nvSpPr>
        <xdr:spPr>
          <a:xfrm>
            <a:off x="10753806" y="1023257"/>
            <a:ext cx="4320000" cy="664029"/>
          </a:xfrm>
          <a:prstGeom prst="round2SameRect">
            <a:avLst/>
          </a:prstGeom>
          <a:gradFill flip="none" rotWithShape="1">
            <a:gsLst>
              <a:gs pos="100000">
                <a:srgbClr val="9BC848"/>
              </a:gs>
              <a:gs pos="52000">
                <a:srgbClr val="22C55E">
                  <a:lumMod val="100000"/>
                </a:srgbClr>
              </a:gs>
              <a:gs pos="16000">
                <a:srgbClr val="35EAA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SALES DISTRIBUTION BY SEASON PASS TYPE</a:t>
            </a:r>
            <a:endParaRPr lang="pt-BR" sz="1400" b="1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0109D242-1FC2-495B-AF4F-A689D6332669}"/>
              </a:ext>
            </a:extLst>
          </xdr:cNvPr>
          <xdr:cNvGrpSpPr/>
        </xdr:nvGrpSpPr>
        <xdr:grpSpPr>
          <a:xfrm>
            <a:off x="11145692" y="1756818"/>
            <a:ext cx="1549476" cy="721996"/>
            <a:chOff x="3495675" y="5400674"/>
            <a:chExt cx="1549476" cy="752476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B2893387-2FC6-8860-3D7A-77940263DF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7" name="Gráfico 6">
              <a:extLst>
                <a:ext uri="{FF2B5EF4-FFF2-40B4-BE49-F238E27FC236}">
                  <a16:creationId xmlns:a16="http://schemas.microsoft.com/office/drawing/2014/main" id="{1A2EDCF3-9DA6-333E-CB3F-B58E25A95E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F3D3E308-03FA-48B6-9779-B9DEB7B3C7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22835" y="1567543"/>
            <a:ext cx="1219200" cy="1100546"/>
          </a:xfrm>
          <a:prstGeom prst="rect">
            <a:avLst/>
          </a:prstGeom>
        </xdr:spPr>
      </xdr:pic>
    </xdr:grpSp>
    <xdr:clientData/>
  </xdr:twoCellAnchor>
  <xdr:twoCellAnchor editAs="absolute">
    <xdr:from>
      <xdr:col>13</xdr:col>
      <xdr:colOff>105833</xdr:colOff>
      <xdr:row>3</xdr:row>
      <xdr:rowOff>116416</xdr:rowOff>
    </xdr:from>
    <xdr:to>
      <xdr:col>19</xdr:col>
      <xdr:colOff>502720</xdr:colOff>
      <xdr:row>5</xdr:row>
      <xdr:rowOff>94951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801E1A3-84A5-4F4B-8150-A7AA38683EB6}"/>
            </a:ext>
          </a:extLst>
        </xdr:cNvPr>
        <xdr:cNvSpPr/>
      </xdr:nvSpPr>
      <xdr:spPr>
        <a:xfrm>
          <a:off x="9027583" y="1026583"/>
          <a:ext cx="3974054" cy="253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900" b="0">
              <a:solidFill>
                <a:schemeClr val="bg2">
                  <a:lumMod val="50000"/>
                </a:schemeClr>
              </a:solidFill>
            </a:rPr>
            <a:t>Analysis</a:t>
          </a:r>
          <a:r>
            <a:rPr lang="pt-BR" sz="900" b="0" baseline="0">
              <a:solidFill>
                <a:schemeClr val="bg2">
                  <a:lumMod val="50000"/>
                </a:schemeClr>
              </a:solidFill>
            </a:rPr>
            <a:t> Period</a:t>
          </a:r>
          <a:r>
            <a:rPr lang="pt-BR" sz="900" b="0">
              <a:solidFill>
                <a:schemeClr val="bg2">
                  <a:lumMod val="50000"/>
                </a:schemeClr>
              </a:solidFill>
            </a:rPr>
            <a:t>: 01/01/2024 - 31/12/2024 | Last Update: 23/09/2026</a:t>
          </a:r>
          <a:endParaRPr lang="pt-BR" sz="900" b="0" baseline="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lson Nobre" refreshedDate="46289.174893055555" createdVersion="8" refreshedVersion="8" minRefreshableVersion="3" recordCount="295" xr:uid="{250CD729-C673-48C3-BED3-F04293476A2D}">
  <cacheSource type="worksheet">
    <worksheetSource name="Tabela1"/>
  </cacheSource>
  <cacheFields count="21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2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 Count" numFmtId="2">
      <sharedItems containsSemiMixedTypes="0" containsString="0" containsNumber="1" containsInteger="1" minValue="0" maxValue="1"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Count" numFmtId="2">
      <sharedItems containsSemiMixedTypes="0" containsString="0" containsNumber="1" containsInteger="1" minValue="0" maxValue="1"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Purchased Both Season Passes" numFmtId="2">
      <sharedItems containsSemiMixedTypes="0" containsString="0" containsNumber="1" containsInteger="1" minValue="0" maxValue="1"/>
    </cacheField>
    <cacheField name="Purchased No Season Passes" numFmtId="2">
      <sharedItems containsSemiMixedTypes="0" containsString="0" containsNumber="1" containsInteger="1" minValue="0" maxValue="1"/>
    </cacheField>
    <cacheField name="Minecraft Season Pass Only" numFmtId="1">
      <sharedItems containsSemiMixedTypes="0" containsString="0" containsNumber="1" containsInteger="1" minValue="0" maxValue="1"/>
    </cacheField>
    <cacheField name="EA Play Season Pass Only" numFmtId="1">
      <sharedItems containsSemiMixedTypes="0" containsString="0" containsNumber="1" containsInteger="1" minValue="0" maxValue="0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549716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1"/>
    <n v="30"/>
    <s v="Yes"/>
    <n v="1"/>
    <n v="20"/>
    <n v="5"/>
    <n v="60"/>
    <n v="1"/>
    <n v="0"/>
    <n v="0"/>
    <n v="0"/>
  </r>
  <r>
    <n v="3232"/>
    <s v="Maria Oliveira"/>
    <x v="1"/>
    <x v="1"/>
    <x v="1"/>
    <n v="5"/>
    <x v="1"/>
    <s v="No"/>
    <n v="0"/>
    <s v="-"/>
    <s v="No"/>
    <n v="0"/>
    <n v="0"/>
    <n v="0"/>
    <n v="5"/>
    <n v="0"/>
    <n v="1"/>
    <n v="0"/>
    <n v="0"/>
  </r>
  <r>
    <n v="3233"/>
    <s v="Lucas Fernandes"/>
    <x v="2"/>
    <x v="2"/>
    <x v="0"/>
    <n v="10"/>
    <x v="2"/>
    <s v="No"/>
    <n v="0"/>
    <s v="-"/>
    <s v="Yes"/>
    <n v="1"/>
    <n v="20"/>
    <n v="10"/>
    <n v="20"/>
    <n v="0"/>
    <n v="0"/>
    <n v="1"/>
    <n v="0"/>
  </r>
  <r>
    <n v="3234"/>
    <s v="Ana Souza"/>
    <x v="0"/>
    <x v="3"/>
    <x v="1"/>
    <n v="15"/>
    <x v="0"/>
    <s v="Yes"/>
    <n v="1"/>
    <n v="30"/>
    <s v="Yes"/>
    <n v="1"/>
    <n v="20"/>
    <n v="3"/>
    <n v="62"/>
    <n v="1"/>
    <n v="0"/>
    <n v="0"/>
    <n v="0"/>
  </r>
  <r>
    <n v="3235"/>
    <s v="Pedro Gonçalves"/>
    <x v="1"/>
    <x v="4"/>
    <x v="0"/>
    <n v="5"/>
    <x v="0"/>
    <s v="No"/>
    <n v="0"/>
    <s v="-"/>
    <s v="No"/>
    <n v="0"/>
    <n v="0"/>
    <n v="1"/>
    <n v="4"/>
    <n v="0"/>
    <n v="1"/>
    <n v="0"/>
    <n v="0"/>
  </r>
  <r>
    <n v="3236"/>
    <s v="Felipe Costa"/>
    <x v="2"/>
    <x v="5"/>
    <x v="1"/>
    <n v="10"/>
    <x v="0"/>
    <s v="No"/>
    <n v="0"/>
    <s v="-"/>
    <s v="Yes"/>
    <n v="1"/>
    <n v="20"/>
    <n v="2"/>
    <n v="28"/>
    <n v="0"/>
    <n v="0"/>
    <n v="1"/>
    <n v="0"/>
  </r>
  <r>
    <n v="3237"/>
    <s v="Camila Ribeiro"/>
    <x v="0"/>
    <x v="6"/>
    <x v="0"/>
    <n v="15"/>
    <x v="2"/>
    <s v="Yes"/>
    <n v="1"/>
    <n v="30"/>
    <s v="Yes"/>
    <n v="1"/>
    <n v="20"/>
    <n v="10"/>
    <n v="55"/>
    <n v="1"/>
    <n v="0"/>
    <n v="0"/>
    <n v="0"/>
  </r>
  <r>
    <n v="3238"/>
    <s v="André Mendes"/>
    <x v="1"/>
    <x v="7"/>
    <x v="0"/>
    <n v="5"/>
    <x v="1"/>
    <s v="No"/>
    <n v="0"/>
    <s v="-"/>
    <s v="No"/>
    <n v="0"/>
    <n v="0"/>
    <n v="0"/>
    <n v="5"/>
    <n v="0"/>
    <n v="1"/>
    <n v="0"/>
    <n v="0"/>
  </r>
  <r>
    <n v="3239"/>
    <s v="Sofia Almeida"/>
    <x v="0"/>
    <x v="4"/>
    <x v="1"/>
    <n v="15"/>
    <x v="0"/>
    <s v="Yes"/>
    <n v="1"/>
    <n v="30"/>
    <s v="Yes"/>
    <n v="1"/>
    <n v="20"/>
    <n v="5"/>
    <n v="60"/>
    <n v="1"/>
    <n v="0"/>
    <n v="0"/>
    <n v="0"/>
  </r>
  <r>
    <n v="3240"/>
    <s v="Bruno Martins"/>
    <x v="2"/>
    <x v="8"/>
    <x v="0"/>
    <n v="10"/>
    <x v="2"/>
    <s v="No"/>
    <n v="0"/>
    <s v="-"/>
    <s v="Yes"/>
    <n v="1"/>
    <n v="20"/>
    <n v="15"/>
    <n v="15"/>
    <n v="0"/>
    <n v="0"/>
    <n v="1"/>
    <n v="0"/>
  </r>
  <r>
    <n v="3241"/>
    <s v="Rita Castro"/>
    <x v="1"/>
    <x v="9"/>
    <x v="1"/>
    <n v="5"/>
    <x v="0"/>
    <s v="No"/>
    <n v="0"/>
    <s v="-"/>
    <s v="No"/>
    <n v="0"/>
    <n v="0"/>
    <n v="1"/>
    <n v="4"/>
    <n v="0"/>
    <n v="1"/>
    <n v="0"/>
    <n v="0"/>
  </r>
  <r>
    <n v="3242"/>
    <s v="Marco Túlio"/>
    <x v="0"/>
    <x v="10"/>
    <x v="0"/>
    <n v="15"/>
    <x v="1"/>
    <s v="Yes"/>
    <n v="1"/>
    <n v="30"/>
    <s v="Yes"/>
    <n v="1"/>
    <n v="20"/>
    <n v="20"/>
    <n v="45"/>
    <n v="1"/>
    <n v="0"/>
    <n v="0"/>
    <n v="0"/>
  </r>
  <r>
    <n v="3243"/>
    <s v="Lívia Silveira"/>
    <x v="2"/>
    <x v="11"/>
    <x v="1"/>
    <n v="10"/>
    <x v="0"/>
    <s v="No"/>
    <n v="0"/>
    <s v="-"/>
    <s v="Yes"/>
    <n v="1"/>
    <n v="20"/>
    <n v="10"/>
    <n v="20"/>
    <n v="0"/>
    <n v="0"/>
    <n v="1"/>
    <n v="0"/>
  </r>
  <r>
    <n v="3244"/>
    <s v="Diogo Sousa"/>
    <x v="1"/>
    <x v="12"/>
    <x v="0"/>
    <n v="5"/>
    <x v="2"/>
    <s v="No"/>
    <n v="0"/>
    <s v="-"/>
    <s v="No"/>
    <n v="0"/>
    <n v="0"/>
    <n v="0"/>
    <n v="5"/>
    <n v="0"/>
    <n v="1"/>
    <n v="0"/>
    <n v="0"/>
  </r>
  <r>
    <n v="3245"/>
    <s v="Fernanda Lima"/>
    <x v="0"/>
    <x v="13"/>
    <x v="1"/>
    <n v="15"/>
    <x v="0"/>
    <s v="Yes"/>
    <n v="1"/>
    <n v="30"/>
    <s v="Yes"/>
    <n v="1"/>
    <n v="20"/>
    <n v="8"/>
    <n v="57"/>
    <n v="1"/>
    <n v="0"/>
    <n v="0"/>
    <n v="0"/>
  </r>
  <r>
    <n v="3246"/>
    <s v="Caio Pereira"/>
    <x v="2"/>
    <x v="14"/>
    <x v="0"/>
    <n v="10"/>
    <x v="1"/>
    <s v="No"/>
    <n v="0"/>
    <s v="-"/>
    <s v="Yes"/>
    <n v="1"/>
    <n v="20"/>
    <n v="12"/>
    <n v="18"/>
    <n v="0"/>
    <n v="0"/>
    <n v="1"/>
    <n v="0"/>
  </r>
  <r>
    <n v="3247"/>
    <s v="Beatriz Gomes"/>
    <x v="1"/>
    <x v="15"/>
    <x v="1"/>
    <n v="5"/>
    <x v="0"/>
    <s v="No"/>
    <n v="0"/>
    <s v="-"/>
    <s v="No"/>
    <n v="0"/>
    <n v="0"/>
    <n v="2"/>
    <n v="3"/>
    <n v="0"/>
    <n v="1"/>
    <n v="0"/>
    <n v="0"/>
  </r>
  <r>
    <n v="3248"/>
    <s v="Cesar Oliveira"/>
    <x v="0"/>
    <x v="16"/>
    <x v="0"/>
    <n v="15"/>
    <x v="2"/>
    <s v="Yes"/>
    <n v="1"/>
    <n v="30"/>
    <s v="Yes"/>
    <n v="1"/>
    <n v="20"/>
    <n v="7"/>
    <n v="58"/>
    <n v="1"/>
    <n v="0"/>
    <n v="0"/>
    <n v="0"/>
  </r>
  <r>
    <n v="3249"/>
    <s v="Débora Machado"/>
    <x v="2"/>
    <x v="17"/>
    <x v="1"/>
    <n v="10"/>
    <x v="0"/>
    <s v="No"/>
    <n v="0"/>
    <s v="-"/>
    <s v="Yes"/>
    <n v="1"/>
    <n v="20"/>
    <n v="5"/>
    <n v="25"/>
    <n v="0"/>
    <n v="0"/>
    <n v="1"/>
    <n v="0"/>
  </r>
  <r>
    <n v="3250"/>
    <s v="Eduardo Vargas"/>
    <x v="1"/>
    <x v="18"/>
    <x v="0"/>
    <n v="5"/>
    <x v="1"/>
    <s v="No"/>
    <n v="0"/>
    <s v="-"/>
    <s v="No"/>
    <n v="0"/>
    <n v="0"/>
    <n v="0"/>
    <n v="5"/>
    <n v="0"/>
    <n v="1"/>
    <n v="0"/>
    <n v="0"/>
  </r>
  <r>
    <n v="3251"/>
    <s v="Gabriela Santos"/>
    <x v="0"/>
    <x v="19"/>
    <x v="1"/>
    <n v="15"/>
    <x v="0"/>
    <s v="Yes"/>
    <n v="1"/>
    <n v="30"/>
    <s v="Yes"/>
    <n v="1"/>
    <n v="20"/>
    <n v="3"/>
    <n v="62"/>
    <n v="1"/>
    <n v="0"/>
    <n v="0"/>
    <n v="0"/>
  </r>
  <r>
    <n v="3252"/>
    <s v="Henrique Dias"/>
    <x v="2"/>
    <x v="20"/>
    <x v="0"/>
    <n v="10"/>
    <x v="2"/>
    <s v="No"/>
    <n v="0"/>
    <s v="-"/>
    <s v="Yes"/>
    <n v="1"/>
    <n v="20"/>
    <n v="15"/>
    <n v="15"/>
    <n v="0"/>
    <n v="0"/>
    <n v="1"/>
    <n v="0"/>
  </r>
  <r>
    <n v="3253"/>
    <s v="Isabela Moreira"/>
    <x v="1"/>
    <x v="21"/>
    <x v="1"/>
    <n v="5"/>
    <x v="0"/>
    <s v="No"/>
    <n v="0"/>
    <s v="-"/>
    <s v="No"/>
    <n v="0"/>
    <n v="0"/>
    <n v="1"/>
    <n v="4"/>
    <n v="0"/>
    <n v="1"/>
    <n v="0"/>
    <n v="0"/>
  </r>
  <r>
    <n v="3254"/>
    <s v="Joaquim Barbosa"/>
    <x v="0"/>
    <x v="22"/>
    <x v="0"/>
    <n v="15"/>
    <x v="1"/>
    <s v="Yes"/>
    <n v="1"/>
    <n v="30"/>
    <s v="Yes"/>
    <n v="1"/>
    <n v="20"/>
    <n v="20"/>
    <n v="45"/>
    <n v="1"/>
    <n v="0"/>
    <n v="0"/>
    <n v="0"/>
  </r>
  <r>
    <n v="3255"/>
    <s v="Lara Rocha"/>
    <x v="2"/>
    <x v="23"/>
    <x v="1"/>
    <n v="10"/>
    <x v="0"/>
    <s v="No"/>
    <n v="0"/>
    <s v="-"/>
    <s v="Yes"/>
    <n v="1"/>
    <n v="20"/>
    <n v="10"/>
    <n v="20"/>
    <n v="0"/>
    <n v="0"/>
    <n v="1"/>
    <n v="0"/>
  </r>
  <r>
    <n v="3256"/>
    <s v="Matheus Silva"/>
    <x v="1"/>
    <x v="24"/>
    <x v="0"/>
    <n v="5"/>
    <x v="2"/>
    <s v="No"/>
    <n v="0"/>
    <s v="-"/>
    <s v="No"/>
    <n v="0"/>
    <n v="0"/>
    <n v="0"/>
    <n v="5"/>
    <n v="0"/>
    <n v="1"/>
    <n v="0"/>
    <n v="0"/>
  </r>
  <r>
    <n v="3257"/>
    <s v="Nicole Costa"/>
    <x v="0"/>
    <x v="25"/>
    <x v="1"/>
    <n v="15"/>
    <x v="0"/>
    <s v="Yes"/>
    <n v="1"/>
    <n v="30"/>
    <s v="Yes"/>
    <n v="1"/>
    <n v="20"/>
    <n v="5"/>
    <n v="60"/>
    <n v="1"/>
    <n v="0"/>
    <n v="0"/>
    <n v="0"/>
  </r>
  <r>
    <n v="3258"/>
    <s v="Otávio Mendonça"/>
    <x v="2"/>
    <x v="26"/>
    <x v="0"/>
    <n v="10"/>
    <x v="1"/>
    <s v="No"/>
    <n v="0"/>
    <s v="-"/>
    <s v="Yes"/>
    <n v="1"/>
    <n v="20"/>
    <n v="15"/>
    <n v="15"/>
    <n v="0"/>
    <n v="0"/>
    <n v="1"/>
    <n v="0"/>
  </r>
  <r>
    <n v="3259"/>
    <s v="Paula Ferreira"/>
    <x v="1"/>
    <x v="27"/>
    <x v="1"/>
    <n v="5"/>
    <x v="0"/>
    <s v="No"/>
    <n v="0"/>
    <s v="-"/>
    <s v="No"/>
    <n v="0"/>
    <n v="0"/>
    <n v="1"/>
    <n v="4"/>
    <n v="0"/>
    <n v="1"/>
    <n v="0"/>
    <n v="0"/>
  </r>
  <r>
    <n v="3260"/>
    <s v="Raquel Alves"/>
    <x v="0"/>
    <x v="28"/>
    <x v="0"/>
    <n v="15"/>
    <x v="2"/>
    <s v="Yes"/>
    <n v="1"/>
    <n v="30"/>
    <s v="Yes"/>
    <n v="1"/>
    <n v="20"/>
    <n v="7"/>
    <n v="58"/>
    <n v="1"/>
    <n v="0"/>
    <n v="0"/>
    <n v="0"/>
  </r>
  <r>
    <n v="3261"/>
    <s v="Samuel Pires"/>
    <x v="2"/>
    <x v="29"/>
    <x v="1"/>
    <n v="10"/>
    <x v="0"/>
    <s v="No"/>
    <n v="0"/>
    <s v="-"/>
    <s v="Yes"/>
    <n v="1"/>
    <n v="20"/>
    <n v="10"/>
    <n v="20"/>
    <n v="0"/>
    <n v="0"/>
    <n v="1"/>
    <n v="0"/>
  </r>
  <r>
    <n v="3262"/>
    <s v="Tânia Barros"/>
    <x v="1"/>
    <x v="30"/>
    <x v="0"/>
    <n v="5"/>
    <x v="1"/>
    <s v="No"/>
    <n v="0"/>
    <s v="-"/>
    <s v="No"/>
    <n v="0"/>
    <n v="0"/>
    <n v="0"/>
    <n v="5"/>
    <n v="0"/>
    <n v="1"/>
    <n v="0"/>
    <n v="0"/>
  </r>
  <r>
    <n v="3263"/>
    <s v="Vinicius Lima"/>
    <x v="0"/>
    <x v="31"/>
    <x v="1"/>
    <n v="15"/>
    <x v="0"/>
    <s v="Yes"/>
    <n v="1"/>
    <n v="30"/>
    <s v="Yes"/>
    <n v="1"/>
    <n v="20"/>
    <n v="3"/>
    <n v="62"/>
    <n v="1"/>
    <n v="0"/>
    <n v="0"/>
    <n v="0"/>
  </r>
  <r>
    <n v="3264"/>
    <s v="Yasmin Teixeira"/>
    <x v="2"/>
    <x v="32"/>
    <x v="0"/>
    <n v="10"/>
    <x v="2"/>
    <s v="No"/>
    <n v="0"/>
    <s v="-"/>
    <s v="Yes"/>
    <n v="1"/>
    <n v="20"/>
    <n v="15"/>
    <n v="15"/>
    <n v="0"/>
    <n v="0"/>
    <n v="1"/>
    <n v="0"/>
  </r>
  <r>
    <n v="3265"/>
    <s v="Zé Carlos"/>
    <x v="1"/>
    <x v="33"/>
    <x v="1"/>
    <n v="5"/>
    <x v="0"/>
    <s v="No"/>
    <n v="0"/>
    <s v="-"/>
    <s v="No"/>
    <n v="0"/>
    <n v="0"/>
    <n v="1"/>
    <n v="4"/>
    <n v="0"/>
    <n v="1"/>
    <n v="0"/>
    <n v="0"/>
  </r>
  <r>
    <n v="3266"/>
    <s v="Amanda Nogueira"/>
    <x v="1"/>
    <x v="34"/>
    <x v="0"/>
    <n v="5"/>
    <x v="0"/>
    <s v="No"/>
    <n v="0"/>
    <s v="-"/>
    <s v="No"/>
    <n v="0"/>
    <n v="0"/>
    <n v="0"/>
    <n v="5"/>
    <n v="0"/>
    <n v="1"/>
    <n v="0"/>
    <n v="0"/>
  </r>
  <r>
    <n v="3267"/>
    <s v="Bruno Cavalheiro"/>
    <x v="0"/>
    <x v="35"/>
    <x v="1"/>
    <n v="15"/>
    <x v="2"/>
    <s v="Yes"/>
    <n v="1"/>
    <n v="30"/>
    <s v="Yes"/>
    <n v="1"/>
    <n v="20"/>
    <n v="7"/>
    <n v="58"/>
    <n v="1"/>
    <n v="0"/>
    <n v="0"/>
    <n v="0"/>
  </r>
  <r>
    <n v="3268"/>
    <s v="Carla Dias"/>
    <x v="2"/>
    <x v="36"/>
    <x v="0"/>
    <n v="10"/>
    <x v="1"/>
    <s v="No"/>
    <n v="0"/>
    <s v="-"/>
    <s v="Yes"/>
    <n v="1"/>
    <n v="20"/>
    <n v="10"/>
    <n v="20"/>
    <n v="0"/>
    <n v="0"/>
    <n v="1"/>
    <n v="0"/>
  </r>
  <r>
    <n v="3269"/>
    <s v="Diego Fontes"/>
    <x v="1"/>
    <x v="37"/>
    <x v="1"/>
    <n v="5"/>
    <x v="2"/>
    <s v="No"/>
    <n v="0"/>
    <s v="-"/>
    <s v="No"/>
    <n v="0"/>
    <n v="0"/>
    <n v="1"/>
    <n v="4"/>
    <n v="0"/>
    <n v="1"/>
    <n v="0"/>
    <n v="0"/>
  </r>
  <r>
    <n v="3270"/>
    <s v="Eunice Lima"/>
    <x v="0"/>
    <x v="38"/>
    <x v="0"/>
    <n v="15"/>
    <x v="0"/>
    <s v="Yes"/>
    <n v="1"/>
    <n v="30"/>
    <s v="Yes"/>
    <n v="1"/>
    <n v="20"/>
    <n v="15"/>
    <n v="50"/>
    <n v="1"/>
    <n v="0"/>
    <n v="0"/>
    <n v="0"/>
  </r>
  <r>
    <n v="3271"/>
    <s v="Fábio Martins"/>
    <x v="2"/>
    <x v="39"/>
    <x v="1"/>
    <n v="10"/>
    <x v="0"/>
    <s v="No"/>
    <n v="0"/>
    <s v="-"/>
    <s v="Yes"/>
    <n v="1"/>
    <n v="20"/>
    <n v="5"/>
    <n v="25"/>
    <n v="0"/>
    <n v="0"/>
    <n v="1"/>
    <n v="0"/>
  </r>
  <r>
    <n v="3272"/>
    <s v="Gisele Araújo"/>
    <x v="1"/>
    <x v="40"/>
    <x v="0"/>
    <n v="5"/>
    <x v="1"/>
    <s v="No"/>
    <n v="0"/>
    <s v="-"/>
    <s v="No"/>
    <n v="0"/>
    <n v="0"/>
    <n v="0"/>
    <n v="5"/>
    <n v="0"/>
    <n v="1"/>
    <n v="0"/>
    <n v="0"/>
  </r>
  <r>
    <n v="3273"/>
    <s v="Hélio Castro"/>
    <x v="0"/>
    <x v="41"/>
    <x v="1"/>
    <n v="15"/>
    <x v="2"/>
    <s v="Yes"/>
    <n v="1"/>
    <n v="30"/>
    <s v="Yes"/>
    <n v="1"/>
    <n v="20"/>
    <n v="20"/>
    <n v="45"/>
    <n v="1"/>
    <n v="0"/>
    <n v="0"/>
    <n v="0"/>
  </r>
  <r>
    <n v="3274"/>
    <s v="Ingrid Menezes"/>
    <x v="2"/>
    <x v="42"/>
    <x v="0"/>
    <n v="10"/>
    <x v="2"/>
    <s v="No"/>
    <n v="0"/>
    <s v="-"/>
    <s v="Yes"/>
    <n v="1"/>
    <n v="20"/>
    <n v="12"/>
    <n v="18"/>
    <n v="0"/>
    <n v="0"/>
    <n v="1"/>
    <n v="0"/>
  </r>
  <r>
    <n v="3275"/>
    <s v="Jorge Baptista"/>
    <x v="1"/>
    <x v="43"/>
    <x v="1"/>
    <n v="5"/>
    <x v="0"/>
    <s v="No"/>
    <n v="0"/>
    <s v="-"/>
    <s v="No"/>
    <n v="0"/>
    <n v="0"/>
    <n v="2"/>
    <n v="3"/>
    <n v="0"/>
    <n v="1"/>
    <n v="0"/>
    <n v="0"/>
  </r>
  <r>
    <n v="3276"/>
    <s v="Kléber Oliveira"/>
    <x v="0"/>
    <x v="44"/>
    <x v="0"/>
    <n v="15"/>
    <x v="1"/>
    <s v="Yes"/>
    <n v="1"/>
    <n v="30"/>
    <s v="Yes"/>
    <n v="1"/>
    <n v="20"/>
    <n v="5"/>
    <n v="60"/>
    <n v="1"/>
    <n v="0"/>
    <n v="0"/>
    <n v="0"/>
  </r>
  <r>
    <n v="3277"/>
    <s v="Luciana Freitas"/>
    <x v="2"/>
    <x v="45"/>
    <x v="1"/>
    <n v="10"/>
    <x v="0"/>
    <s v="No"/>
    <n v="0"/>
    <s v="-"/>
    <s v="Yes"/>
    <n v="1"/>
    <n v="20"/>
    <n v="10"/>
    <n v="20"/>
    <n v="0"/>
    <n v="0"/>
    <n v="1"/>
    <n v="0"/>
  </r>
  <r>
    <n v="3278"/>
    <s v="Márcia Eller"/>
    <x v="1"/>
    <x v="46"/>
    <x v="0"/>
    <n v="5"/>
    <x v="2"/>
    <s v="No"/>
    <n v="0"/>
    <s v="-"/>
    <s v="No"/>
    <n v="0"/>
    <n v="0"/>
    <n v="0"/>
    <n v="5"/>
    <n v="0"/>
    <n v="1"/>
    <n v="0"/>
    <n v="0"/>
  </r>
  <r>
    <n v="3279"/>
    <s v="Nilo Peçanha"/>
    <x v="0"/>
    <x v="47"/>
    <x v="1"/>
    <n v="15"/>
    <x v="0"/>
    <s v="Yes"/>
    <n v="1"/>
    <n v="30"/>
    <s v="Yes"/>
    <n v="1"/>
    <n v="20"/>
    <n v="3"/>
    <n v="62"/>
    <n v="1"/>
    <n v="0"/>
    <n v="0"/>
    <n v="0"/>
  </r>
  <r>
    <n v="3280"/>
    <s v="Oscar Neves"/>
    <x v="2"/>
    <x v="48"/>
    <x v="0"/>
    <n v="10"/>
    <x v="1"/>
    <s v="No"/>
    <n v="0"/>
    <s v="-"/>
    <s v="Yes"/>
    <n v="1"/>
    <n v="20"/>
    <n v="15"/>
    <n v="15"/>
    <n v="0"/>
    <n v="0"/>
    <n v="1"/>
    <n v="0"/>
  </r>
  <r>
    <n v="3281"/>
    <s v="Patrícia Soares"/>
    <x v="1"/>
    <x v="49"/>
    <x v="1"/>
    <n v="5"/>
    <x v="0"/>
    <s v="No"/>
    <n v="0"/>
    <s v="-"/>
    <s v="No"/>
    <n v="0"/>
    <n v="0"/>
    <n v="1"/>
    <n v="4"/>
    <n v="0"/>
    <n v="1"/>
    <n v="0"/>
    <n v="0"/>
  </r>
  <r>
    <n v="3282"/>
    <s v="Quirino Gonçalves"/>
    <x v="0"/>
    <x v="50"/>
    <x v="0"/>
    <n v="15"/>
    <x v="2"/>
    <s v="Yes"/>
    <n v="1"/>
    <n v="30"/>
    <s v="Yes"/>
    <n v="1"/>
    <n v="20"/>
    <n v="7"/>
    <n v="58"/>
    <n v="1"/>
    <n v="0"/>
    <n v="0"/>
    <n v="0"/>
  </r>
  <r>
    <n v="3283"/>
    <s v="Raul Machado"/>
    <x v="2"/>
    <x v="51"/>
    <x v="1"/>
    <n v="10"/>
    <x v="0"/>
    <s v="No"/>
    <n v="0"/>
    <s v="-"/>
    <s v="Yes"/>
    <n v="1"/>
    <n v="20"/>
    <n v="10"/>
    <n v="20"/>
    <n v="0"/>
    <n v="0"/>
    <n v="1"/>
    <n v="0"/>
  </r>
  <r>
    <n v="3284"/>
    <s v="Sônia Lobo"/>
    <x v="1"/>
    <x v="52"/>
    <x v="0"/>
    <n v="5"/>
    <x v="1"/>
    <s v="No"/>
    <n v="0"/>
    <s v="-"/>
    <s v="No"/>
    <n v="0"/>
    <n v="0"/>
    <n v="0"/>
    <n v="5"/>
    <n v="0"/>
    <n v="1"/>
    <n v="0"/>
    <n v="0"/>
  </r>
  <r>
    <n v="3285"/>
    <s v="Tiago Ramos"/>
    <x v="0"/>
    <x v="53"/>
    <x v="1"/>
    <n v="15"/>
    <x v="0"/>
    <s v="Yes"/>
    <n v="1"/>
    <n v="30"/>
    <s v="Yes"/>
    <n v="1"/>
    <n v="20"/>
    <n v="20"/>
    <n v="45"/>
    <n v="1"/>
    <n v="0"/>
    <n v="0"/>
    <n v="0"/>
  </r>
  <r>
    <n v="3286"/>
    <s v="Ugo Pires"/>
    <x v="2"/>
    <x v="54"/>
    <x v="0"/>
    <n v="10"/>
    <x v="2"/>
    <s v="No"/>
    <n v="0"/>
    <s v="-"/>
    <s v="Yes"/>
    <n v="1"/>
    <n v="20"/>
    <n v="15"/>
    <n v="15"/>
    <n v="0"/>
    <n v="0"/>
    <n v="1"/>
    <n v="0"/>
  </r>
  <r>
    <n v="3287"/>
    <s v="Valéria Nobre"/>
    <x v="1"/>
    <x v="55"/>
    <x v="1"/>
    <n v="5"/>
    <x v="0"/>
    <s v="No"/>
    <n v="0"/>
    <s v="-"/>
    <s v="No"/>
    <n v="0"/>
    <n v="0"/>
    <n v="1"/>
    <n v="4"/>
    <n v="0"/>
    <n v="1"/>
    <n v="0"/>
    <n v="0"/>
  </r>
  <r>
    <n v="3288"/>
    <s v="William Siqueira"/>
    <x v="0"/>
    <x v="56"/>
    <x v="0"/>
    <n v="15"/>
    <x v="1"/>
    <s v="Yes"/>
    <n v="1"/>
    <n v="30"/>
    <s v="Yes"/>
    <n v="1"/>
    <n v="20"/>
    <n v="3"/>
    <n v="62"/>
    <n v="1"/>
    <n v="0"/>
    <n v="0"/>
    <n v="0"/>
  </r>
  <r>
    <n v="3289"/>
    <s v="Xuxa Meneghel"/>
    <x v="2"/>
    <x v="57"/>
    <x v="1"/>
    <n v="10"/>
    <x v="0"/>
    <s v="No"/>
    <n v="0"/>
    <s v="-"/>
    <s v="Yes"/>
    <n v="1"/>
    <n v="20"/>
    <n v="10"/>
    <n v="20"/>
    <n v="0"/>
    <n v="0"/>
    <n v="1"/>
    <n v="0"/>
  </r>
  <r>
    <n v="3290"/>
    <s v="Yara Figueiredo"/>
    <x v="1"/>
    <x v="58"/>
    <x v="0"/>
    <n v="5"/>
    <x v="2"/>
    <s v="No"/>
    <n v="0"/>
    <s v="-"/>
    <s v="No"/>
    <n v="0"/>
    <n v="0"/>
    <n v="0"/>
    <n v="5"/>
    <n v="0"/>
    <n v="1"/>
    <n v="0"/>
    <n v="0"/>
  </r>
  <r>
    <n v="3291"/>
    <s v="Zacarias Alves"/>
    <x v="0"/>
    <x v="59"/>
    <x v="1"/>
    <n v="15"/>
    <x v="0"/>
    <s v="Yes"/>
    <n v="1"/>
    <n v="30"/>
    <s v="Yes"/>
    <n v="1"/>
    <n v="20"/>
    <n v="5"/>
    <n v="60"/>
    <n v="1"/>
    <n v="0"/>
    <n v="0"/>
    <n v="0"/>
  </r>
  <r>
    <n v="3292"/>
    <s v="Amanda Bynes"/>
    <x v="2"/>
    <x v="60"/>
    <x v="0"/>
    <n v="10"/>
    <x v="1"/>
    <s v="No"/>
    <n v="0"/>
    <s v="-"/>
    <s v="Yes"/>
    <n v="1"/>
    <n v="20"/>
    <n v="15"/>
    <n v="15"/>
    <n v="0"/>
    <n v="0"/>
    <n v="1"/>
    <n v="0"/>
  </r>
  <r>
    <n v="3293"/>
    <s v="Bruno Mars"/>
    <x v="1"/>
    <x v="61"/>
    <x v="1"/>
    <n v="5"/>
    <x v="0"/>
    <s v="No"/>
    <n v="0"/>
    <s v="-"/>
    <s v="No"/>
    <n v="0"/>
    <n v="0"/>
    <n v="1"/>
    <n v="4"/>
    <n v="0"/>
    <n v="1"/>
    <n v="0"/>
    <n v="0"/>
  </r>
  <r>
    <n v="3294"/>
    <s v="Carla Bruni"/>
    <x v="0"/>
    <x v="62"/>
    <x v="0"/>
    <n v="15"/>
    <x v="2"/>
    <s v="Yes"/>
    <n v="1"/>
    <n v="30"/>
    <s v="Yes"/>
    <n v="1"/>
    <n v="20"/>
    <n v="20"/>
    <n v="45"/>
    <n v="1"/>
    <n v="0"/>
    <n v="0"/>
    <n v="0"/>
  </r>
  <r>
    <n v="3295"/>
    <s v="Diego Maradona"/>
    <x v="2"/>
    <x v="63"/>
    <x v="1"/>
    <n v="10"/>
    <x v="0"/>
    <s v="No"/>
    <n v="0"/>
    <s v="-"/>
    <s v="Yes"/>
    <n v="1"/>
    <n v="20"/>
    <n v="5"/>
    <n v="25"/>
    <n v="0"/>
    <n v="0"/>
    <n v="1"/>
    <n v="0"/>
  </r>
  <r>
    <n v="3296"/>
    <s v="Estela Marques"/>
    <x v="1"/>
    <x v="64"/>
    <x v="1"/>
    <n v="5"/>
    <x v="0"/>
    <s v="No"/>
    <n v="0"/>
    <s v="-"/>
    <s v="No"/>
    <n v="0"/>
    <n v="0"/>
    <n v="0"/>
    <n v="5"/>
    <n v="0"/>
    <n v="1"/>
    <n v="0"/>
    <n v="0"/>
  </r>
  <r>
    <n v="3297"/>
    <s v="Fábio Nobre"/>
    <x v="0"/>
    <x v="65"/>
    <x v="0"/>
    <n v="15"/>
    <x v="2"/>
    <s v="Yes"/>
    <n v="1"/>
    <n v="30"/>
    <s v="Yes"/>
    <n v="1"/>
    <n v="20"/>
    <n v="7"/>
    <n v="58"/>
    <n v="1"/>
    <n v="0"/>
    <n v="0"/>
    <n v="0"/>
  </r>
  <r>
    <n v="3298"/>
    <s v="Gabriel Oliveira"/>
    <x v="2"/>
    <x v="66"/>
    <x v="1"/>
    <n v="10"/>
    <x v="1"/>
    <s v="No"/>
    <n v="0"/>
    <s v="-"/>
    <s v="Yes"/>
    <n v="1"/>
    <n v="20"/>
    <n v="10"/>
    <n v="20"/>
    <n v="0"/>
    <n v="0"/>
    <n v="1"/>
    <n v="0"/>
  </r>
  <r>
    <n v="3299"/>
    <s v="Helena Santos"/>
    <x v="1"/>
    <x v="67"/>
    <x v="0"/>
    <n v="5"/>
    <x v="2"/>
    <s v="No"/>
    <n v="0"/>
    <s v="-"/>
    <s v="No"/>
    <n v="0"/>
    <n v="0"/>
    <n v="1"/>
    <n v="4"/>
    <n v="0"/>
    <n v="1"/>
    <n v="0"/>
    <n v="0"/>
  </r>
  <r>
    <n v="3300"/>
    <s v="Ivan Carvalho"/>
    <x v="0"/>
    <x v="68"/>
    <x v="1"/>
    <n v="15"/>
    <x v="0"/>
    <s v="Yes"/>
    <n v="1"/>
    <n v="30"/>
    <s v="Yes"/>
    <n v="1"/>
    <n v="20"/>
    <n v="15"/>
    <n v="50"/>
    <n v="1"/>
    <n v="0"/>
    <n v="0"/>
    <n v="0"/>
  </r>
  <r>
    <n v="3301"/>
    <s v="Júlia Ferreira"/>
    <x v="2"/>
    <x v="69"/>
    <x v="0"/>
    <n v="10"/>
    <x v="0"/>
    <s v="No"/>
    <n v="0"/>
    <s v="-"/>
    <s v="Yes"/>
    <n v="1"/>
    <n v="20"/>
    <n v="5"/>
    <n v="25"/>
    <n v="0"/>
    <n v="0"/>
    <n v="1"/>
    <n v="0"/>
  </r>
  <r>
    <n v="3302"/>
    <s v="Karla Alves"/>
    <x v="1"/>
    <x v="70"/>
    <x v="1"/>
    <n v="5"/>
    <x v="1"/>
    <s v="No"/>
    <n v="0"/>
    <s v="-"/>
    <s v="No"/>
    <n v="0"/>
    <n v="0"/>
    <n v="0"/>
    <n v="5"/>
    <n v="0"/>
    <n v="1"/>
    <n v="0"/>
    <n v="0"/>
  </r>
  <r>
    <n v="3303"/>
    <s v="Lucas Mendes"/>
    <x v="0"/>
    <x v="71"/>
    <x v="0"/>
    <n v="15"/>
    <x v="2"/>
    <s v="Yes"/>
    <n v="1"/>
    <n v="30"/>
    <s v="Yes"/>
    <n v="1"/>
    <n v="20"/>
    <n v="20"/>
    <n v="45"/>
    <n v="1"/>
    <n v="0"/>
    <n v="0"/>
    <n v="0"/>
  </r>
  <r>
    <n v="3304"/>
    <s v="Mônica Gomes"/>
    <x v="2"/>
    <x v="72"/>
    <x v="1"/>
    <n v="10"/>
    <x v="2"/>
    <s v="No"/>
    <n v="0"/>
    <s v="-"/>
    <s v="Yes"/>
    <n v="1"/>
    <n v="20"/>
    <n v="12"/>
    <n v="18"/>
    <n v="0"/>
    <n v="0"/>
    <n v="1"/>
    <n v="0"/>
  </r>
  <r>
    <n v="3305"/>
    <s v="Norberto Queiroz"/>
    <x v="1"/>
    <x v="73"/>
    <x v="0"/>
    <n v="5"/>
    <x v="0"/>
    <s v="No"/>
    <n v="0"/>
    <s v="-"/>
    <s v="No"/>
    <n v="0"/>
    <n v="0"/>
    <n v="2"/>
    <n v="3"/>
    <n v="0"/>
    <n v="1"/>
    <n v="0"/>
    <n v="0"/>
  </r>
  <r>
    <n v="3306"/>
    <s v="Otávio Barros"/>
    <x v="0"/>
    <x v="74"/>
    <x v="1"/>
    <n v="15"/>
    <x v="1"/>
    <s v="Yes"/>
    <n v="1"/>
    <n v="30"/>
    <s v="Yes"/>
    <n v="1"/>
    <n v="20"/>
    <n v="5"/>
    <n v="60"/>
    <n v="1"/>
    <n v="0"/>
    <n v="0"/>
    <n v="0"/>
  </r>
  <r>
    <n v="3307"/>
    <s v="Paula Vieira"/>
    <x v="2"/>
    <x v="75"/>
    <x v="0"/>
    <n v="10"/>
    <x v="0"/>
    <s v="No"/>
    <n v="0"/>
    <s v="-"/>
    <s v="Yes"/>
    <n v="1"/>
    <n v="20"/>
    <n v="10"/>
    <n v="20"/>
    <n v="0"/>
    <n v="0"/>
    <n v="1"/>
    <n v="0"/>
  </r>
  <r>
    <n v="3308"/>
    <s v="Quentin Ramos"/>
    <x v="1"/>
    <x v="76"/>
    <x v="1"/>
    <n v="5"/>
    <x v="2"/>
    <s v="No"/>
    <n v="0"/>
    <s v="-"/>
    <s v="No"/>
    <n v="0"/>
    <n v="0"/>
    <n v="0"/>
    <n v="5"/>
    <n v="0"/>
    <n v="1"/>
    <n v="0"/>
    <n v="0"/>
  </r>
  <r>
    <n v="3309"/>
    <s v="Raquel Novaes"/>
    <x v="0"/>
    <x v="77"/>
    <x v="0"/>
    <n v="15"/>
    <x v="0"/>
    <s v="Yes"/>
    <n v="1"/>
    <n v="30"/>
    <s v="Yes"/>
    <n v="1"/>
    <n v="20"/>
    <n v="3"/>
    <n v="62"/>
    <n v="1"/>
    <n v="0"/>
    <n v="0"/>
    <n v="0"/>
  </r>
  <r>
    <n v="3310"/>
    <s v="Samantha Lopes"/>
    <x v="2"/>
    <x v="78"/>
    <x v="1"/>
    <n v="10"/>
    <x v="1"/>
    <s v="No"/>
    <n v="0"/>
    <s v="-"/>
    <s v="Yes"/>
    <n v="1"/>
    <n v="20"/>
    <n v="15"/>
    <n v="15"/>
    <n v="0"/>
    <n v="0"/>
    <n v="1"/>
    <n v="0"/>
  </r>
  <r>
    <n v="3311"/>
    <s v="Tiago Martins"/>
    <x v="1"/>
    <x v="79"/>
    <x v="0"/>
    <n v="5"/>
    <x v="0"/>
    <s v="No"/>
    <n v="0"/>
    <s v="-"/>
    <s v="No"/>
    <n v="0"/>
    <n v="0"/>
    <n v="1"/>
    <n v="4"/>
    <n v="0"/>
    <n v="1"/>
    <n v="0"/>
    <n v="0"/>
  </r>
  <r>
    <n v="3312"/>
    <s v="Ulysses Guimarães"/>
    <x v="0"/>
    <x v="80"/>
    <x v="1"/>
    <n v="15"/>
    <x v="2"/>
    <s v="Yes"/>
    <n v="1"/>
    <n v="30"/>
    <s v="Yes"/>
    <n v="1"/>
    <n v="20"/>
    <n v="7"/>
    <n v="58"/>
    <n v="1"/>
    <n v="0"/>
    <n v="0"/>
    <n v="0"/>
  </r>
  <r>
    <n v="3313"/>
    <s v="Vanessa Silva"/>
    <x v="2"/>
    <x v="81"/>
    <x v="0"/>
    <n v="10"/>
    <x v="0"/>
    <s v="No"/>
    <n v="0"/>
    <s v="-"/>
    <s v="Yes"/>
    <n v="1"/>
    <n v="20"/>
    <n v="10"/>
    <n v="20"/>
    <n v="0"/>
    <n v="0"/>
    <n v="1"/>
    <n v="0"/>
  </r>
  <r>
    <n v="3314"/>
    <s v="William Carneiro"/>
    <x v="1"/>
    <x v="82"/>
    <x v="1"/>
    <n v="5"/>
    <x v="1"/>
    <s v="No"/>
    <n v="0"/>
    <s v="-"/>
    <s v="No"/>
    <n v="0"/>
    <n v="0"/>
    <n v="0"/>
    <n v="5"/>
    <n v="0"/>
    <n v="1"/>
    <n v="0"/>
    <n v="0"/>
  </r>
  <r>
    <n v="3315"/>
    <s v="Ximena Rocha"/>
    <x v="0"/>
    <x v="83"/>
    <x v="0"/>
    <n v="15"/>
    <x v="0"/>
    <s v="Yes"/>
    <n v="1"/>
    <n v="30"/>
    <s v="Yes"/>
    <n v="1"/>
    <n v="20"/>
    <n v="20"/>
    <n v="45"/>
    <n v="1"/>
    <n v="0"/>
    <n v="0"/>
    <n v="0"/>
  </r>
  <r>
    <n v="3316"/>
    <s v="Yasmin Figueiredo"/>
    <x v="2"/>
    <x v="84"/>
    <x v="1"/>
    <n v="10"/>
    <x v="2"/>
    <s v="No"/>
    <n v="0"/>
    <s v="-"/>
    <s v="Yes"/>
    <n v="1"/>
    <n v="20"/>
    <n v="15"/>
    <n v="15"/>
    <n v="0"/>
    <n v="0"/>
    <n v="1"/>
    <n v="0"/>
  </r>
  <r>
    <n v="3317"/>
    <s v="Zara Cunha"/>
    <x v="1"/>
    <x v="85"/>
    <x v="0"/>
    <n v="5"/>
    <x v="0"/>
    <s v="No"/>
    <n v="0"/>
    <s v="-"/>
    <s v="No"/>
    <n v="0"/>
    <n v="0"/>
    <n v="1"/>
    <n v="4"/>
    <n v="0"/>
    <n v="1"/>
    <n v="0"/>
    <n v="0"/>
  </r>
  <r>
    <n v="3318"/>
    <s v="Alan Teixeira"/>
    <x v="0"/>
    <x v="86"/>
    <x v="1"/>
    <n v="15"/>
    <x v="1"/>
    <s v="Yes"/>
    <n v="1"/>
    <n v="30"/>
    <s v="Yes"/>
    <n v="1"/>
    <n v="20"/>
    <n v="3"/>
    <n v="62"/>
    <n v="1"/>
    <n v="0"/>
    <n v="0"/>
    <n v="0"/>
  </r>
  <r>
    <n v="3319"/>
    <s v="Bárbara Oliveira"/>
    <x v="2"/>
    <x v="87"/>
    <x v="0"/>
    <n v="10"/>
    <x v="0"/>
    <s v="No"/>
    <n v="0"/>
    <s v="-"/>
    <s v="Yes"/>
    <n v="1"/>
    <n v="20"/>
    <n v="10"/>
    <n v="20"/>
    <n v="0"/>
    <n v="0"/>
    <n v="1"/>
    <n v="0"/>
  </r>
  <r>
    <n v="3320"/>
    <s v="Carlos Junqueira"/>
    <x v="1"/>
    <x v="88"/>
    <x v="1"/>
    <n v="5"/>
    <x v="2"/>
    <s v="No"/>
    <n v="0"/>
    <s v="-"/>
    <s v="No"/>
    <n v="0"/>
    <n v="0"/>
    <n v="0"/>
    <n v="5"/>
    <n v="0"/>
    <n v="1"/>
    <n v="0"/>
    <n v="0"/>
  </r>
  <r>
    <n v="3321"/>
    <s v="Daniela Moura"/>
    <x v="0"/>
    <x v="89"/>
    <x v="0"/>
    <n v="15"/>
    <x v="0"/>
    <s v="Yes"/>
    <n v="1"/>
    <n v="30"/>
    <s v="Yes"/>
    <n v="1"/>
    <n v="20"/>
    <n v="5"/>
    <n v="60"/>
    <n v="1"/>
    <n v="0"/>
    <n v="0"/>
    <n v="0"/>
  </r>
  <r>
    <n v="3322"/>
    <s v="Eduardo Lima"/>
    <x v="2"/>
    <x v="90"/>
    <x v="1"/>
    <n v="10"/>
    <x v="1"/>
    <s v="No"/>
    <n v="0"/>
    <s v="-"/>
    <s v="Yes"/>
    <n v="1"/>
    <n v="20"/>
    <n v="15"/>
    <n v="15"/>
    <n v="0"/>
    <n v="0"/>
    <n v="1"/>
    <n v="0"/>
  </r>
  <r>
    <n v="3323"/>
    <s v="Fabiana Araújo"/>
    <x v="1"/>
    <x v="91"/>
    <x v="0"/>
    <n v="5"/>
    <x v="0"/>
    <s v="No"/>
    <n v="0"/>
    <s v="-"/>
    <s v="No"/>
    <n v="0"/>
    <n v="0"/>
    <n v="1"/>
    <n v="4"/>
    <n v="0"/>
    <n v="1"/>
    <n v="0"/>
    <n v="0"/>
  </r>
  <r>
    <n v="3324"/>
    <s v="Geraldo Ribeiro"/>
    <x v="0"/>
    <x v="92"/>
    <x v="1"/>
    <n v="15"/>
    <x v="2"/>
    <s v="Yes"/>
    <n v="1"/>
    <n v="30"/>
    <s v="Yes"/>
    <n v="1"/>
    <n v="20"/>
    <n v="20"/>
    <n v="45"/>
    <n v="1"/>
    <n v="0"/>
    <n v="0"/>
    <n v="0"/>
  </r>
  <r>
    <n v="3325"/>
    <s v="Héctor Vargas"/>
    <x v="2"/>
    <x v="93"/>
    <x v="0"/>
    <n v="10"/>
    <x v="2"/>
    <s v="No"/>
    <n v="0"/>
    <s v="-"/>
    <s v="Yes"/>
    <n v="1"/>
    <n v="20"/>
    <n v="15"/>
    <n v="15"/>
    <n v="0"/>
    <n v="0"/>
    <n v="1"/>
    <n v="0"/>
  </r>
  <r>
    <n v="3326"/>
    <s v="Isabela Fonseca"/>
    <x v="1"/>
    <x v="94"/>
    <x v="1"/>
    <n v="5"/>
    <x v="1"/>
    <s v="No"/>
    <n v="0"/>
    <s v="-"/>
    <s v="No"/>
    <n v="0"/>
    <n v="0"/>
    <n v="0"/>
    <n v="5"/>
    <n v="0"/>
    <n v="1"/>
    <n v="0"/>
    <n v="0"/>
  </r>
  <r>
    <n v="3327"/>
    <s v="João Pedro Almeida"/>
    <x v="0"/>
    <x v="95"/>
    <x v="0"/>
    <n v="15"/>
    <x v="0"/>
    <s v="Yes"/>
    <n v="1"/>
    <n v="30"/>
    <s v="Yes"/>
    <n v="1"/>
    <n v="20"/>
    <n v="7"/>
    <n v="58"/>
    <n v="1"/>
    <n v="0"/>
    <n v="0"/>
    <n v="0"/>
  </r>
  <r>
    <n v="3328"/>
    <s v="Klara Costa"/>
    <x v="2"/>
    <x v="96"/>
    <x v="1"/>
    <n v="10"/>
    <x v="1"/>
    <s v="No"/>
    <n v="0"/>
    <s v="-"/>
    <s v="Yes"/>
    <n v="1"/>
    <n v="20"/>
    <n v="10"/>
    <n v="20"/>
    <n v="0"/>
    <n v="0"/>
    <n v="1"/>
    <n v="0"/>
  </r>
  <r>
    <n v="3329"/>
    <s v="Luciana Mendes"/>
    <x v="1"/>
    <x v="97"/>
    <x v="0"/>
    <n v="5"/>
    <x v="2"/>
    <s v="No"/>
    <n v="0"/>
    <s v="-"/>
    <s v="No"/>
    <n v="0"/>
    <n v="0"/>
    <n v="1"/>
    <n v="4"/>
    <n v="0"/>
    <n v="1"/>
    <n v="0"/>
    <n v="0"/>
  </r>
  <r>
    <n v="3330"/>
    <s v="Marcelo Gouveia"/>
    <x v="0"/>
    <x v="98"/>
    <x v="1"/>
    <n v="15"/>
    <x v="0"/>
    <s v="Yes"/>
    <n v="1"/>
    <n v="30"/>
    <s v="Yes"/>
    <n v="1"/>
    <n v="20"/>
    <n v="15"/>
    <n v="50"/>
    <n v="1"/>
    <n v="0"/>
    <n v="0"/>
    <n v="0"/>
  </r>
  <r>
    <n v="3331"/>
    <s v="Nívea Borges"/>
    <x v="2"/>
    <x v="99"/>
    <x v="0"/>
    <n v="10"/>
    <x v="0"/>
    <s v="No"/>
    <n v="0"/>
    <s v="-"/>
    <s v="Yes"/>
    <n v="1"/>
    <n v="20"/>
    <n v="5"/>
    <n v="25"/>
    <n v="0"/>
    <n v="0"/>
    <n v="1"/>
    <n v="0"/>
  </r>
  <r>
    <n v="3332"/>
    <s v="Oscar Nogueira"/>
    <x v="1"/>
    <x v="100"/>
    <x v="1"/>
    <n v="5"/>
    <x v="1"/>
    <s v="No"/>
    <n v="0"/>
    <s v="-"/>
    <s v="No"/>
    <n v="0"/>
    <n v="0"/>
    <n v="0"/>
    <n v="5"/>
    <n v="0"/>
    <n v="1"/>
    <n v="0"/>
    <n v="0"/>
  </r>
  <r>
    <n v="3333"/>
    <s v="Patrícia Alves"/>
    <x v="0"/>
    <x v="101"/>
    <x v="0"/>
    <n v="15"/>
    <x v="2"/>
    <s v="Yes"/>
    <n v="1"/>
    <n v="30"/>
    <s v="Yes"/>
    <n v="1"/>
    <n v="20"/>
    <n v="20"/>
    <n v="45"/>
    <n v="1"/>
    <n v="0"/>
    <n v="0"/>
    <n v="0"/>
  </r>
  <r>
    <n v="3334"/>
    <s v="Rafaela Silva"/>
    <x v="2"/>
    <x v="102"/>
    <x v="1"/>
    <n v="10"/>
    <x v="2"/>
    <s v="No"/>
    <n v="0"/>
    <s v="-"/>
    <s v="Yes"/>
    <n v="1"/>
    <n v="20"/>
    <n v="12"/>
    <n v="18"/>
    <n v="0"/>
    <n v="0"/>
    <n v="1"/>
    <n v="0"/>
  </r>
  <r>
    <n v="3335"/>
    <s v="Samantha Moraes"/>
    <x v="1"/>
    <x v="103"/>
    <x v="0"/>
    <n v="5"/>
    <x v="0"/>
    <s v="No"/>
    <n v="0"/>
    <s v="-"/>
    <s v="No"/>
    <n v="0"/>
    <n v="0"/>
    <n v="2"/>
    <n v="3"/>
    <n v="0"/>
    <n v="1"/>
    <n v="0"/>
    <n v="0"/>
  </r>
  <r>
    <n v="3336"/>
    <s v="Tatiana Rocha"/>
    <x v="1"/>
    <x v="104"/>
    <x v="0"/>
    <n v="5"/>
    <x v="0"/>
    <s v="No"/>
    <n v="0"/>
    <s v="-"/>
    <s v="No"/>
    <n v="0"/>
    <n v="0"/>
    <n v="0"/>
    <n v="5"/>
    <n v="0"/>
    <n v="1"/>
    <n v="0"/>
    <n v="0"/>
  </r>
  <r>
    <n v="3337"/>
    <s v="Ulisses Tavares"/>
    <x v="0"/>
    <x v="105"/>
    <x v="1"/>
    <n v="15"/>
    <x v="2"/>
    <s v="Yes"/>
    <n v="1"/>
    <n v="30"/>
    <s v="Yes"/>
    <n v="1"/>
    <n v="20"/>
    <n v="7"/>
    <n v="58"/>
    <n v="1"/>
    <n v="0"/>
    <n v="0"/>
    <n v="0"/>
  </r>
  <r>
    <n v="3338"/>
    <s v="Víctor Lemos"/>
    <x v="2"/>
    <x v="106"/>
    <x v="0"/>
    <n v="10"/>
    <x v="1"/>
    <s v="No"/>
    <n v="0"/>
    <s v="-"/>
    <s v="Yes"/>
    <n v="1"/>
    <n v="20"/>
    <n v="10"/>
    <n v="20"/>
    <n v="0"/>
    <n v="0"/>
    <n v="1"/>
    <n v="0"/>
  </r>
  <r>
    <n v="3339"/>
    <s v="Wilma Barros"/>
    <x v="1"/>
    <x v="107"/>
    <x v="1"/>
    <n v="5"/>
    <x v="2"/>
    <s v="No"/>
    <n v="0"/>
    <s v="-"/>
    <s v="No"/>
    <n v="0"/>
    <n v="0"/>
    <n v="1"/>
    <n v="4"/>
    <n v="0"/>
    <n v="1"/>
    <n v="0"/>
    <n v="0"/>
  </r>
  <r>
    <n v="3340"/>
    <s v="Xavier Nascimento"/>
    <x v="0"/>
    <x v="108"/>
    <x v="0"/>
    <n v="15"/>
    <x v="0"/>
    <s v="Yes"/>
    <n v="1"/>
    <n v="30"/>
    <s v="Yes"/>
    <n v="1"/>
    <n v="20"/>
    <n v="15"/>
    <n v="50"/>
    <n v="1"/>
    <n v="0"/>
    <n v="0"/>
    <n v="0"/>
  </r>
  <r>
    <n v="3341"/>
    <s v="Yago Pereira"/>
    <x v="2"/>
    <x v="109"/>
    <x v="1"/>
    <n v="10"/>
    <x v="0"/>
    <s v="No"/>
    <n v="0"/>
    <s v="-"/>
    <s v="Yes"/>
    <n v="1"/>
    <n v="20"/>
    <n v="5"/>
    <n v="25"/>
    <n v="0"/>
    <n v="0"/>
    <n v="1"/>
    <n v="0"/>
  </r>
  <r>
    <n v="3342"/>
    <s v="Zilda Ferreira"/>
    <x v="1"/>
    <x v="110"/>
    <x v="0"/>
    <n v="5"/>
    <x v="1"/>
    <s v="No"/>
    <n v="0"/>
    <s v="-"/>
    <s v="No"/>
    <n v="0"/>
    <n v="0"/>
    <n v="0"/>
    <n v="5"/>
    <n v="0"/>
    <n v="1"/>
    <n v="0"/>
    <n v="0"/>
  </r>
  <r>
    <n v="3343"/>
    <s v="Amanda Lopes"/>
    <x v="0"/>
    <x v="111"/>
    <x v="1"/>
    <n v="15"/>
    <x v="2"/>
    <s v="Yes"/>
    <n v="1"/>
    <n v="30"/>
    <s v="Yes"/>
    <n v="1"/>
    <n v="20"/>
    <n v="20"/>
    <n v="45"/>
    <n v="1"/>
    <n v="0"/>
    <n v="0"/>
    <n v="0"/>
  </r>
  <r>
    <n v="3344"/>
    <s v="Bruno Miranda"/>
    <x v="2"/>
    <x v="112"/>
    <x v="0"/>
    <n v="10"/>
    <x v="2"/>
    <s v="No"/>
    <n v="0"/>
    <s v="-"/>
    <s v="Yes"/>
    <n v="1"/>
    <n v="20"/>
    <n v="12"/>
    <n v="18"/>
    <n v="0"/>
    <n v="0"/>
    <n v="1"/>
    <n v="0"/>
  </r>
  <r>
    <n v="3345"/>
    <s v="Célia Torres"/>
    <x v="1"/>
    <x v="113"/>
    <x v="1"/>
    <n v="5"/>
    <x v="0"/>
    <s v="No"/>
    <n v="0"/>
    <s v="-"/>
    <s v="No"/>
    <n v="0"/>
    <n v="0"/>
    <n v="2"/>
    <n v="3"/>
    <n v="0"/>
    <n v="1"/>
    <n v="0"/>
    <n v="0"/>
  </r>
  <r>
    <n v="3346"/>
    <s v="Diogo Souza"/>
    <x v="0"/>
    <x v="114"/>
    <x v="0"/>
    <n v="15"/>
    <x v="1"/>
    <s v="Yes"/>
    <n v="1"/>
    <n v="30"/>
    <s v="Yes"/>
    <n v="1"/>
    <n v="20"/>
    <n v="5"/>
    <n v="60"/>
    <n v="1"/>
    <n v="0"/>
    <n v="0"/>
    <n v="0"/>
  </r>
  <r>
    <n v="3347"/>
    <s v="Elisa Castro"/>
    <x v="2"/>
    <x v="115"/>
    <x v="1"/>
    <n v="10"/>
    <x v="0"/>
    <s v="No"/>
    <n v="0"/>
    <s v="-"/>
    <s v="Yes"/>
    <n v="1"/>
    <n v="20"/>
    <n v="10"/>
    <n v="20"/>
    <n v="0"/>
    <n v="0"/>
    <n v="1"/>
    <n v="0"/>
  </r>
  <r>
    <n v="3348"/>
    <s v="Fátima Lima"/>
    <x v="1"/>
    <x v="116"/>
    <x v="0"/>
    <n v="5"/>
    <x v="2"/>
    <s v="No"/>
    <n v="0"/>
    <s v="-"/>
    <s v="No"/>
    <n v="0"/>
    <n v="0"/>
    <n v="0"/>
    <n v="5"/>
    <n v="0"/>
    <n v="1"/>
    <n v="0"/>
    <n v="0"/>
  </r>
  <r>
    <n v="3349"/>
    <s v="Geraldo Ribeiro"/>
    <x v="0"/>
    <x v="117"/>
    <x v="1"/>
    <n v="15"/>
    <x v="0"/>
    <s v="Yes"/>
    <n v="1"/>
    <n v="30"/>
    <s v="Yes"/>
    <n v="1"/>
    <n v="20"/>
    <n v="3"/>
    <n v="62"/>
    <n v="1"/>
    <n v="0"/>
    <n v="0"/>
    <n v="0"/>
  </r>
  <r>
    <n v="3350"/>
    <s v="Hélio Martins"/>
    <x v="2"/>
    <x v="118"/>
    <x v="0"/>
    <n v="10"/>
    <x v="1"/>
    <s v="No"/>
    <n v="0"/>
    <s v="-"/>
    <s v="Yes"/>
    <n v="1"/>
    <n v="20"/>
    <n v="15"/>
    <n v="15"/>
    <n v="0"/>
    <n v="0"/>
    <n v="1"/>
    <n v="0"/>
  </r>
  <r>
    <n v="3351"/>
    <s v="Íris Santos"/>
    <x v="1"/>
    <x v="119"/>
    <x v="1"/>
    <n v="5"/>
    <x v="0"/>
    <s v="No"/>
    <n v="0"/>
    <s v="-"/>
    <s v="No"/>
    <n v="0"/>
    <n v="0"/>
    <n v="1"/>
    <n v="4"/>
    <n v="0"/>
    <n v="1"/>
    <n v="0"/>
    <n v="0"/>
  </r>
  <r>
    <n v="3352"/>
    <s v="João Marcelo"/>
    <x v="0"/>
    <x v="120"/>
    <x v="0"/>
    <n v="15"/>
    <x v="2"/>
    <s v="Yes"/>
    <n v="1"/>
    <n v="30"/>
    <s v="Yes"/>
    <n v="1"/>
    <n v="20"/>
    <n v="7"/>
    <n v="58"/>
    <n v="1"/>
    <n v="0"/>
    <n v="0"/>
    <n v="0"/>
  </r>
  <r>
    <n v="3353"/>
    <s v="Larissa Gomes"/>
    <x v="2"/>
    <x v="121"/>
    <x v="1"/>
    <n v="10"/>
    <x v="0"/>
    <s v="No"/>
    <n v="0"/>
    <s v="-"/>
    <s v="Yes"/>
    <n v="1"/>
    <n v="20"/>
    <n v="10"/>
    <n v="20"/>
    <n v="0"/>
    <n v="0"/>
    <n v="1"/>
    <n v="0"/>
  </r>
  <r>
    <n v="3354"/>
    <s v="Márcio Silva"/>
    <x v="1"/>
    <x v="122"/>
    <x v="0"/>
    <n v="5"/>
    <x v="1"/>
    <s v="No"/>
    <n v="0"/>
    <s v="-"/>
    <s v="No"/>
    <n v="0"/>
    <n v="0"/>
    <n v="0"/>
    <n v="5"/>
    <n v="0"/>
    <n v="1"/>
    <n v="0"/>
    <n v="0"/>
  </r>
  <r>
    <n v="3355"/>
    <s v="Nadia Costa"/>
    <x v="0"/>
    <x v="123"/>
    <x v="1"/>
    <n v="15"/>
    <x v="0"/>
    <s v="Yes"/>
    <n v="1"/>
    <n v="30"/>
    <s v="Yes"/>
    <n v="1"/>
    <n v="20"/>
    <n v="20"/>
    <n v="45"/>
    <n v="1"/>
    <n v="0"/>
    <n v="0"/>
    <n v="0"/>
  </r>
  <r>
    <n v="3356"/>
    <s v="Oscar Almeida"/>
    <x v="2"/>
    <x v="124"/>
    <x v="0"/>
    <n v="10"/>
    <x v="2"/>
    <s v="No"/>
    <n v="0"/>
    <s v="-"/>
    <s v="Yes"/>
    <n v="1"/>
    <n v="20"/>
    <n v="15"/>
    <n v="15"/>
    <n v="0"/>
    <n v="0"/>
    <n v="1"/>
    <n v="0"/>
  </r>
  <r>
    <n v="3357"/>
    <s v="Patricia Soares"/>
    <x v="1"/>
    <x v="125"/>
    <x v="1"/>
    <n v="5"/>
    <x v="0"/>
    <s v="No"/>
    <n v="0"/>
    <s v="-"/>
    <s v="No"/>
    <n v="0"/>
    <n v="0"/>
    <n v="1"/>
    <n v="4"/>
    <n v="0"/>
    <n v="1"/>
    <n v="0"/>
    <n v="0"/>
  </r>
  <r>
    <n v="3358"/>
    <s v="Quênia Barros"/>
    <x v="0"/>
    <x v="126"/>
    <x v="0"/>
    <n v="15"/>
    <x v="1"/>
    <s v="Yes"/>
    <n v="1"/>
    <n v="30"/>
    <s v="Yes"/>
    <n v="1"/>
    <n v="20"/>
    <n v="3"/>
    <n v="62"/>
    <n v="1"/>
    <n v="0"/>
    <n v="0"/>
    <n v="0"/>
  </r>
  <r>
    <n v="3359"/>
    <s v="Rafael Torres"/>
    <x v="2"/>
    <x v="127"/>
    <x v="1"/>
    <n v="10"/>
    <x v="0"/>
    <s v="No"/>
    <n v="0"/>
    <s v="-"/>
    <s v="Yes"/>
    <n v="1"/>
    <n v="20"/>
    <n v="10"/>
    <n v="20"/>
    <n v="0"/>
    <n v="0"/>
    <n v="1"/>
    <n v="0"/>
  </r>
  <r>
    <n v="3360"/>
    <s v="Silvia Nascimento"/>
    <x v="1"/>
    <x v="128"/>
    <x v="0"/>
    <n v="5"/>
    <x v="2"/>
    <s v="No"/>
    <n v="0"/>
    <s v="-"/>
    <s v="No"/>
    <n v="0"/>
    <n v="0"/>
    <n v="0"/>
    <n v="5"/>
    <n v="0"/>
    <n v="1"/>
    <n v="0"/>
    <n v="0"/>
  </r>
  <r>
    <n v="3361"/>
    <s v="Tiago Mendes"/>
    <x v="0"/>
    <x v="129"/>
    <x v="1"/>
    <n v="15"/>
    <x v="0"/>
    <s v="Yes"/>
    <n v="1"/>
    <n v="30"/>
    <s v="Yes"/>
    <n v="1"/>
    <n v="20"/>
    <n v="15"/>
    <n v="50"/>
    <n v="1"/>
    <n v="0"/>
    <n v="0"/>
    <n v="0"/>
  </r>
  <r>
    <n v="3362"/>
    <s v="Ursula Silva"/>
    <x v="2"/>
    <x v="130"/>
    <x v="0"/>
    <n v="10"/>
    <x v="1"/>
    <s v="No"/>
    <n v="0"/>
    <s v="-"/>
    <s v="Yes"/>
    <n v="1"/>
    <n v="20"/>
    <n v="15"/>
    <n v="15"/>
    <n v="0"/>
    <n v="0"/>
    <n v="1"/>
    <n v="0"/>
  </r>
  <r>
    <n v="3363"/>
    <s v="Vanessa Moraes"/>
    <x v="1"/>
    <x v="131"/>
    <x v="1"/>
    <n v="5"/>
    <x v="0"/>
    <s v="No"/>
    <n v="0"/>
    <s v="-"/>
    <s v="No"/>
    <n v="0"/>
    <n v="0"/>
    <n v="1"/>
    <n v="4"/>
    <n v="0"/>
    <n v="1"/>
    <n v="0"/>
    <n v="0"/>
  </r>
  <r>
    <n v="3364"/>
    <s v="Waldir Junior"/>
    <x v="0"/>
    <x v="132"/>
    <x v="0"/>
    <n v="15"/>
    <x v="2"/>
    <s v="Yes"/>
    <n v="1"/>
    <n v="30"/>
    <s v="Yes"/>
    <n v="1"/>
    <n v="20"/>
    <n v="7"/>
    <n v="58"/>
    <n v="1"/>
    <n v="0"/>
    <n v="0"/>
    <n v="0"/>
  </r>
  <r>
    <n v="3365"/>
    <s v="Xavier Lopes"/>
    <x v="2"/>
    <x v="133"/>
    <x v="1"/>
    <n v="10"/>
    <x v="0"/>
    <s v="No"/>
    <n v="0"/>
    <s v="-"/>
    <s v="Yes"/>
    <n v="1"/>
    <n v="20"/>
    <n v="10"/>
    <n v="20"/>
    <n v="0"/>
    <n v="0"/>
    <n v="1"/>
    <n v="0"/>
  </r>
  <r>
    <n v="3366"/>
    <s v="Yolanda Freitas"/>
    <x v="1"/>
    <x v="134"/>
    <x v="0"/>
    <n v="5"/>
    <x v="0"/>
    <s v="No"/>
    <n v="0"/>
    <s v="-"/>
    <s v="No"/>
    <n v="0"/>
    <n v="0"/>
    <n v="0"/>
    <n v="5"/>
    <n v="0"/>
    <n v="1"/>
    <n v="0"/>
    <n v="0"/>
  </r>
  <r>
    <n v="3367"/>
    <s v="Zacarias Nunes"/>
    <x v="0"/>
    <x v="135"/>
    <x v="1"/>
    <n v="15"/>
    <x v="2"/>
    <s v="Yes"/>
    <n v="1"/>
    <n v="30"/>
    <s v="Yes"/>
    <n v="1"/>
    <n v="20"/>
    <n v="7"/>
    <n v="58"/>
    <n v="1"/>
    <n v="0"/>
    <n v="0"/>
    <n v="0"/>
  </r>
  <r>
    <n v="3368"/>
    <s v="Ana Clara Barreto"/>
    <x v="2"/>
    <x v="136"/>
    <x v="0"/>
    <n v="10"/>
    <x v="1"/>
    <s v="No"/>
    <n v="0"/>
    <s v="-"/>
    <s v="Yes"/>
    <n v="1"/>
    <n v="20"/>
    <n v="10"/>
    <n v="20"/>
    <n v="0"/>
    <n v="0"/>
    <n v="1"/>
    <n v="0"/>
  </r>
  <r>
    <n v="3369"/>
    <s v="Bruno Henrique"/>
    <x v="1"/>
    <x v="137"/>
    <x v="1"/>
    <n v="5"/>
    <x v="2"/>
    <s v="No"/>
    <n v="0"/>
    <s v="-"/>
    <s v="No"/>
    <n v="0"/>
    <n v="0"/>
    <n v="1"/>
    <n v="4"/>
    <n v="0"/>
    <n v="1"/>
    <n v="0"/>
    <n v="0"/>
  </r>
  <r>
    <n v="3370"/>
    <s v="Carlos Eduardo"/>
    <x v="0"/>
    <x v="138"/>
    <x v="0"/>
    <n v="15"/>
    <x v="0"/>
    <s v="Yes"/>
    <n v="1"/>
    <n v="30"/>
    <s v="Yes"/>
    <n v="1"/>
    <n v="20"/>
    <n v="15"/>
    <n v="50"/>
    <n v="1"/>
    <n v="0"/>
    <n v="0"/>
    <n v="0"/>
  </r>
  <r>
    <n v="3371"/>
    <s v="Débora Lima"/>
    <x v="2"/>
    <x v="139"/>
    <x v="1"/>
    <n v="10"/>
    <x v="0"/>
    <s v="No"/>
    <n v="0"/>
    <s v="-"/>
    <s v="Yes"/>
    <n v="1"/>
    <n v="20"/>
    <n v="5"/>
    <n v="25"/>
    <n v="0"/>
    <n v="0"/>
    <n v="1"/>
    <n v="0"/>
  </r>
  <r>
    <n v="3372"/>
    <s v="Elisa Neves"/>
    <x v="1"/>
    <x v="140"/>
    <x v="0"/>
    <n v="5"/>
    <x v="1"/>
    <s v="No"/>
    <n v="0"/>
    <s v="-"/>
    <s v="No"/>
    <n v="0"/>
    <n v="0"/>
    <n v="0"/>
    <n v="5"/>
    <n v="0"/>
    <n v="1"/>
    <n v="0"/>
    <n v="0"/>
  </r>
  <r>
    <n v="3373"/>
    <s v="Fabiano Gomes"/>
    <x v="0"/>
    <x v="141"/>
    <x v="1"/>
    <n v="15"/>
    <x v="2"/>
    <s v="Yes"/>
    <n v="1"/>
    <n v="30"/>
    <s v="Yes"/>
    <n v="1"/>
    <n v="20"/>
    <n v="20"/>
    <n v="45"/>
    <n v="1"/>
    <n v="0"/>
    <n v="0"/>
    <n v="0"/>
  </r>
  <r>
    <n v="3374"/>
    <s v="Gisele Oliveira"/>
    <x v="2"/>
    <x v="142"/>
    <x v="0"/>
    <n v="10"/>
    <x v="2"/>
    <s v="No"/>
    <n v="0"/>
    <s v="-"/>
    <s v="Yes"/>
    <n v="1"/>
    <n v="20"/>
    <n v="12"/>
    <n v="18"/>
    <n v="0"/>
    <n v="0"/>
    <n v="1"/>
    <n v="0"/>
  </r>
  <r>
    <n v="3375"/>
    <s v="Héctor Silva"/>
    <x v="1"/>
    <x v="143"/>
    <x v="1"/>
    <n v="5"/>
    <x v="0"/>
    <s v="No"/>
    <n v="0"/>
    <s v="-"/>
    <s v="No"/>
    <n v="0"/>
    <n v="0"/>
    <n v="2"/>
    <n v="3"/>
    <n v="0"/>
    <n v="1"/>
    <n v="0"/>
    <n v="0"/>
  </r>
  <r>
    <n v="3376"/>
    <s v="Igor Martins"/>
    <x v="0"/>
    <x v="144"/>
    <x v="0"/>
    <n v="15"/>
    <x v="1"/>
    <s v="Yes"/>
    <n v="1"/>
    <n v="30"/>
    <s v="Yes"/>
    <n v="1"/>
    <n v="20"/>
    <n v="5"/>
    <n v="60"/>
    <n v="1"/>
    <n v="0"/>
    <n v="0"/>
    <n v="0"/>
  </r>
  <r>
    <n v="3377"/>
    <s v="Joana Figueiredo"/>
    <x v="2"/>
    <x v="145"/>
    <x v="1"/>
    <n v="10"/>
    <x v="0"/>
    <s v="No"/>
    <n v="0"/>
    <s v="-"/>
    <s v="Yes"/>
    <n v="1"/>
    <n v="20"/>
    <n v="10"/>
    <n v="20"/>
    <n v="0"/>
    <n v="0"/>
    <n v="1"/>
    <n v="0"/>
  </r>
  <r>
    <n v="3378"/>
    <s v="Kleber Machado"/>
    <x v="1"/>
    <x v="146"/>
    <x v="0"/>
    <n v="5"/>
    <x v="2"/>
    <s v="No"/>
    <n v="0"/>
    <s v="-"/>
    <s v="No"/>
    <n v="0"/>
    <n v="0"/>
    <n v="0"/>
    <n v="5"/>
    <n v="0"/>
    <n v="1"/>
    <n v="0"/>
    <n v="0"/>
  </r>
  <r>
    <n v="3379"/>
    <s v="Luciana Santos"/>
    <x v="0"/>
    <x v="147"/>
    <x v="1"/>
    <n v="15"/>
    <x v="0"/>
    <s v="Yes"/>
    <n v="1"/>
    <n v="30"/>
    <s v="Yes"/>
    <n v="1"/>
    <n v="20"/>
    <n v="3"/>
    <n v="62"/>
    <n v="1"/>
    <n v="0"/>
    <n v="0"/>
    <n v="0"/>
  </r>
  <r>
    <n v="3380"/>
    <s v="Marcos Teixeira"/>
    <x v="2"/>
    <x v="148"/>
    <x v="0"/>
    <n v="10"/>
    <x v="1"/>
    <s v="No"/>
    <n v="0"/>
    <s v="-"/>
    <s v="Yes"/>
    <n v="1"/>
    <n v="20"/>
    <n v="15"/>
    <n v="15"/>
    <n v="0"/>
    <n v="0"/>
    <n v="1"/>
    <n v="0"/>
  </r>
  <r>
    <n v="3381"/>
    <s v="Natalia Costa"/>
    <x v="1"/>
    <x v="149"/>
    <x v="1"/>
    <n v="5"/>
    <x v="0"/>
    <s v="No"/>
    <n v="0"/>
    <s v="-"/>
    <s v="No"/>
    <n v="0"/>
    <n v="0"/>
    <n v="1"/>
    <n v="4"/>
    <n v="0"/>
    <n v="1"/>
    <n v="0"/>
    <n v="0"/>
  </r>
  <r>
    <n v="3382"/>
    <s v="Oscar Ribeiro"/>
    <x v="0"/>
    <x v="150"/>
    <x v="0"/>
    <n v="15"/>
    <x v="2"/>
    <s v="Yes"/>
    <n v="1"/>
    <n v="30"/>
    <s v="Yes"/>
    <n v="1"/>
    <n v="20"/>
    <n v="7"/>
    <n v="58"/>
    <n v="1"/>
    <n v="0"/>
    <n v="0"/>
    <n v="0"/>
  </r>
  <r>
    <n v="3383"/>
    <s v="Patricia Almeida"/>
    <x v="2"/>
    <x v="151"/>
    <x v="1"/>
    <n v="10"/>
    <x v="0"/>
    <s v="No"/>
    <n v="0"/>
    <s v="-"/>
    <s v="Yes"/>
    <n v="1"/>
    <n v="20"/>
    <n v="10"/>
    <n v="20"/>
    <n v="0"/>
    <n v="0"/>
    <n v="1"/>
    <n v="0"/>
  </r>
  <r>
    <n v="3384"/>
    <s v="Quirino Junior"/>
    <x v="1"/>
    <x v="152"/>
    <x v="0"/>
    <n v="5"/>
    <x v="1"/>
    <s v="No"/>
    <n v="0"/>
    <s v="-"/>
    <s v="No"/>
    <n v="0"/>
    <n v="0"/>
    <n v="0"/>
    <n v="5"/>
    <n v="0"/>
    <n v="1"/>
    <n v="0"/>
    <n v="0"/>
  </r>
  <r>
    <n v="3385"/>
    <s v="Renata Machado"/>
    <x v="0"/>
    <x v="153"/>
    <x v="1"/>
    <n v="15"/>
    <x v="0"/>
    <s v="Yes"/>
    <n v="1"/>
    <n v="30"/>
    <s v="Yes"/>
    <n v="1"/>
    <n v="20"/>
    <n v="20"/>
    <n v="45"/>
    <n v="1"/>
    <n v="0"/>
    <n v="0"/>
    <n v="0"/>
  </r>
  <r>
    <n v="3386"/>
    <s v="Sônia Alves"/>
    <x v="2"/>
    <x v="154"/>
    <x v="0"/>
    <n v="10"/>
    <x v="2"/>
    <s v="No"/>
    <n v="0"/>
    <s v="-"/>
    <s v="Yes"/>
    <n v="1"/>
    <n v="20"/>
    <n v="15"/>
    <n v="15"/>
    <n v="0"/>
    <n v="0"/>
    <n v="1"/>
    <n v="0"/>
  </r>
  <r>
    <n v="3387"/>
    <s v="Tiago Nunes"/>
    <x v="1"/>
    <x v="155"/>
    <x v="1"/>
    <n v="5"/>
    <x v="0"/>
    <s v="No"/>
    <n v="0"/>
    <s v="-"/>
    <s v="No"/>
    <n v="0"/>
    <n v="0"/>
    <n v="1"/>
    <n v="4"/>
    <n v="0"/>
    <n v="1"/>
    <n v="0"/>
    <n v="0"/>
  </r>
  <r>
    <n v="3388"/>
    <s v="Ulysses Pereira"/>
    <x v="0"/>
    <x v="156"/>
    <x v="0"/>
    <n v="15"/>
    <x v="1"/>
    <s v="Yes"/>
    <n v="1"/>
    <n v="30"/>
    <s v="Yes"/>
    <n v="1"/>
    <n v="20"/>
    <n v="3"/>
    <n v="62"/>
    <n v="1"/>
    <n v="0"/>
    <n v="0"/>
    <n v="0"/>
  </r>
  <r>
    <n v="3389"/>
    <s v="Vanessa Lima"/>
    <x v="2"/>
    <x v="157"/>
    <x v="1"/>
    <n v="10"/>
    <x v="0"/>
    <s v="No"/>
    <n v="0"/>
    <s v="-"/>
    <s v="Yes"/>
    <n v="1"/>
    <n v="20"/>
    <n v="10"/>
    <n v="20"/>
    <n v="0"/>
    <n v="0"/>
    <n v="1"/>
    <n v="0"/>
  </r>
  <r>
    <n v="3390"/>
    <s v="Wagner Santos"/>
    <x v="1"/>
    <x v="158"/>
    <x v="0"/>
    <n v="5"/>
    <x v="2"/>
    <s v="No"/>
    <n v="0"/>
    <s v="-"/>
    <s v="No"/>
    <n v="0"/>
    <n v="0"/>
    <n v="0"/>
    <n v="5"/>
    <n v="0"/>
    <n v="1"/>
    <n v="0"/>
    <n v="0"/>
  </r>
  <r>
    <n v="3391"/>
    <s v="Xuxa Meneghel"/>
    <x v="0"/>
    <x v="159"/>
    <x v="1"/>
    <n v="15"/>
    <x v="0"/>
    <s v="Yes"/>
    <n v="1"/>
    <n v="30"/>
    <s v="Yes"/>
    <n v="1"/>
    <n v="20"/>
    <n v="15"/>
    <n v="50"/>
    <n v="1"/>
    <n v="0"/>
    <n v="0"/>
    <n v="0"/>
  </r>
  <r>
    <n v="3392"/>
    <s v="Yasmin Silva"/>
    <x v="2"/>
    <x v="160"/>
    <x v="0"/>
    <n v="10"/>
    <x v="1"/>
    <s v="No"/>
    <n v="0"/>
    <s v="-"/>
    <s v="Yes"/>
    <n v="1"/>
    <n v="20"/>
    <n v="15"/>
    <n v="15"/>
    <n v="0"/>
    <n v="0"/>
    <n v="1"/>
    <n v="0"/>
  </r>
  <r>
    <n v="3393"/>
    <s v="Zacarias de Souza"/>
    <x v="1"/>
    <x v="161"/>
    <x v="1"/>
    <n v="5"/>
    <x v="0"/>
    <s v="No"/>
    <n v="0"/>
    <s v="-"/>
    <s v="No"/>
    <n v="0"/>
    <n v="0"/>
    <n v="1"/>
    <n v="4"/>
    <n v="0"/>
    <n v="1"/>
    <n v="0"/>
    <n v="0"/>
  </r>
  <r>
    <n v="3394"/>
    <s v="André Lima"/>
    <x v="0"/>
    <x v="162"/>
    <x v="0"/>
    <n v="15"/>
    <x v="2"/>
    <s v="Yes"/>
    <n v="1"/>
    <n v="30"/>
    <s v="Yes"/>
    <n v="1"/>
    <n v="20"/>
    <n v="7"/>
    <n v="58"/>
    <n v="1"/>
    <n v="0"/>
    <n v="0"/>
    <n v="0"/>
  </r>
  <r>
    <n v="3395"/>
    <s v="Bianca Freitas"/>
    <x v="2"/>
    <x v="163"/>
    <x v="1"/>
    <n v="10"/>
    <x v="0"/>
    <s v="No"/>
    <n v="0"/>
    <s v="-"/>
    <s v="Yes"/>
    <n v="1"/>
    <n v="20"/>
    <n v="10"/>
    <n v="20"/>
    <n v="0"/>
    <n v="0"/>
    <n v="1"/>
    <n v="0"/>
  </r>
  <r>
    <n v="3396"/>
    <s v="Caio Mendes"/>
    <x v="1"/>
    <x v="164"/>
    <x v="0"/>
    <n v="5"/>
    <x v="1"/>
    <s v="No"/>
    <n v="0"/>
    <s v="-"/>
    <s v="No"/>
    <n v="0"/>
    <n v="0"/>
    <n v="0"/>
    <n v="5"/>
    <n v="0"/>
    <n v="1"/>
    <n v="0"/>
    <n v="0"/>
  </r>
  <r>
    <n v="3397"/>
    <s v="Daniela Moura"/>
    <x v="0"/>
    <x v="165"/>
    <x v="1"/>
    <n v="15"/>
    <x v="0"/>
    <s v="Yes"/>
    <n v="1"/>
    <n v="30"/>
    <s v="Yes"/>
    <n v="1"/>
    <n v="20"/>
    <n v="20"/>
    <n v="45"/>
    <n v="1"/>
    <n v="0"/>
    <n v="0"/>
    <n v="0"/>
  </r>
  <r>
    <n v="3398"/>
    <s v="Eduardo Costa"/>
    <x v="2"/>
    <x v="166"/>
    <x v="0"/>
    <n v="10"/>
    <x v="2"/>
    <s v="No"/>
    <n v="0"/>
    <s v="-"/>
    <s v="Yes"/>
    <n v="1"/>
    <n v="20"/>
    <n v="15"/>
    <n v="15"/>
    <n v="0"/>
    <n v="0"/>
    <n v="1"/>
    <n v="0"/>
  </r>
  <r>
    <n v="3399"/>
    <s v="Fernanda Gomes"/>
    <x v="1"/>
    <x v="167"/>
    <x v="1"/>
    <n v="5"/>
    <x v="0"/>
    <s v="No"/>
    <n v="0"/>
    <s v="-"/>
    <s v="No"/>
    <n v="0"/>
    <n v="0"/>
    <n v="1"/>
    <n v="4"/>
    <n v="0"/>
    <n v="1"/>
    <n v="0"/>
    <n v="0"/>
  </r>
  <r>
    <n v="3400"/>
    <s v="Guilherme Souza"/>
    <x v="0"/>
    <x v="168"/>
    <x v="0"/>
    <n v="15"/>
    <x v="1"/>
    <s v="Yes"/>
    <n v="1"/>
    <n v="30"/>
    <s v="Yes"/>
    <n v="1"/>
    <n v="20"/>
    <n v="5"/>
    <n v="60"/>
    <n v="1"/>
    <n v="0"/>
    <n v="0"/>
    <n v="0"/>
  </r>
  <r>
    <n v="3401"/>
    <s v="Helena Ribeiro"/>
    <x v="2"/>
    <x v="169"/>
    <x v="1"/>
    <n v="10"/>
    <x v="0"/>
    <s v="No"/>
    <n v="0"/>
    <s v="-"/>
    <s v="Yes"/>
    <n v="1"/>
    <n v="20"/>
    <n v="10"/>
    <n v="20"/>
    <n v="0"/>
    <n v="0"/>
    <n v="1"/>
    <n v="0"/>
  </r>
  <r>
    <n v="3402"/>
    <s v="Igor Santos"/>
    <x v="1"/>
    <x v="170"/>
    <x v="0"/>
    <n v="5"/>
    <x v="2"/>
    <s v="No"/>
    <n v="0"/>
    <s v="-"/>
    <s v="No"/>
    <n v="0"/>
    <n v="0"/>
    <n v="0"/>
    <n v="5"/>
    <n v="0"/>
    <n v="1"/>
    <n v="0"/>
    <n v="0"/>
  </r>
  <r>
    <n v="3403"/>
    <s v="João Carvalho"/>
    <x v="0"/>
    <x v="171"/>
    <x v="1"/>
    <n v="15"/>
    <x v="0"/>
    <s v="Yes"/>
    <n v="1"/>
    <n v="30"/>
    <s v="Yes"/>
    <n v="1"/>
    <n v="20"/>
    <n v="3"/>
    <n v="62"/>
    <n v="1"/>
    <n v="0"/>
    <n v="0"/>
    <n v="0"/>
  </r>
  <r>
    <n v="3404"/>
    <s v="Klara Fagundes"/>
    <x v="2"/>
    <x v="172"/>
    <x v="0"/>
    <n v="10"/>
    <x v="1"/>
    <s v="No"/>
    <n v="0"/>
    <s v="-"/>
    <s v="Yes"/>
    <n v="1"/>
    <n v="20"/>
    <n v="15"/>
    <n v="15"/>
    <n v="0"/>
    <n v="0"/>
    <n v="1"/>
    <n v="0"/>
  </r>
  <r>
    <n v="3405"/>
    <s v="Lúcia Mendonça"/>
    <x v="1"/>
    <x v="173"/>
    <x v="1"/>
    <n v="5"/>
    <x v="0"/>
    <s v="No"/>
    <n v="0"/>
    <s v="-"/>
    <s v="No"/>
    <n v="0"/>
    <n v="0"/>
    <n v="1"/>
    <n v="4"/>
    <n v="0"/>
    <n v="1"/>
    <n v="0"/>
    <n v="0"/>
  </r>
  <r>
    <n v="3406"/>
    <s v="Marcelo Novaes"/>
    <x v="1"/>
    <x v="174"/>
    <x v="0"/>
    <n v="5"/>
    <x v="0"/>
    <s v="No"/>
    <n v="0"/>
    <s v="-"/>
    <s v="No"/>
    <n v="0"/>
    <n v="0"/>
    <n v="0"/>
    <n v="5"/>
    <n v="0"/>
    <n v="1"/>
    <n v="0"/>
    <n v="0"/>
  </r>
  <r>
    <n v="3407"/>
    <s v="Nina Pacheco"/>
    <x v="0"/>
    <x v="175"/>
    <x v="1"/>
    <n v="15"/>
    <x v="2"/>
    <s v="Yes"/>
    <n v="1"/>
    <n v="30"/>
    <s v="Yes"/>
    <n v="1"/>
    <n v="20"/>
    <n v="7"/>
    <n v="58"/>
    <n v="1"/>
    <n v="0"/>
    <n v="0"/>
    <n v="0"/>
  </r>
  <r>
    <n v="3408"/>
    <s v="Olívia Rios"/>
    <x v="2"/>
    <x v="176"/>
    <x v="0"/>
    <n v="10"/>
    <x v="1"/>
    <s v="No"/>
    <n v="0"/>
    <s v="-"/>
    <s v="Yes"/>
    <n v="1"/>
    <n v="20"/>
    <n v="10"/>
    <n v="20"/>
    <n v="0"/>
    <n v="0"/>
    <n v="1"/>
    <n v="0"/>
  </r>
  <r>
    <n v="3409"/>
    <s v="Paulo Quintana"/>
    <x v="1"/>
    <x v="177"/>
    <x v="1"/>
    <n v="5"/>
    <x v="2"/>
    <s v="No"/>
    <n v="0"/>
    <s v="-"/>
    <s v="No"/>
    <n v="0"/>
    <n v="0"/>
    <n v="1"/>
    <n v="4"/>
    <n v="0"/>
    <n v="1"/>
    <n v="0"/>
    <n v="0"/>
  </r>
  <r>
    <n v="3410"/>
    <s v="Raquel Domingos"/>
    <x v="0"/>
    <x v="178"/>
    <x v="0"/>
    <n v="15"/>
    <x v="0"/>
    <s v="Yes"/>
    <n v="1"/>
    <n v="30"/>
    <s v="Yes"/>
    <n v="1"/>
    <n v="20"/>
    <n v="15"/>
    <n v="50"/>
    <n v="1"/>
    <n v="0"/>
    <n v="0"/>
    <n v="0"/>
  </r>
  <r>
    <n v="3411"/>
    <s v="Samuel Viana"/>
    <x v="2"/>
    <x v="179"/>
    <x v="1"/>
    <n v="10"/>
    <x v="0"/>
    <s v="No"/>
    <n v="0"/>
    <s v="-"/>
    <s v="Yes"/>
    <n v="1"/>
    <n v="20"/>
    <n v="5"/>
    <n v="25"/>
    <n v="0"/>
    <n v="0"/>
    <n v="1"/>
    <n v="0"/>
  </r>
  <r>
    <n v="3412"/>
    <s v="Tatiane Rocha"/>
    <x v="1"/>
    <x v="180"/>
    <x v="0"/>
    <n v="5"/>
    <x v="1"/>
    <s v="No"/>
    <n v="0"/>
    <s v="-"/>
    <s v="No"/>
    <n v="0"/>
    <n v="0"/>
    <n v="0"/>
    <n v="5"/>
    <n v="0"/>
    <n v="1"/>
    <n v="0"/>
    <n v="0"/>
  </r>
  <r>
    <n v="3413"/>
    <s v="Ulysses Farias"/>
    <x v="0"/>
    <x v="181"/>
    <x v="1"/>
    <n v="15"/>
    <x v="2"/>
    <s v="Yes"/>
    <n v="1"/>
    <n v="30"/>
    <s v="Yes"/>
    <n v="1"/>
    <n v="20"/>
    <n v="20"/>
    <n v="45"/>
    <n v="1"/>
    <n v="0"/>
    <n v="0"/>
    <n v="0"/>
  </r>
  <r>
    <n v="3414"/>
    <s v="Vanessa Moreira"/>
    <x v="2"/>
    <x v="182"/>
    <x v="0"/>
    <n v="10"/>
    <x v="2"/>
    <s v="No"/>
    <n v="0"/>
    <s v="-"/>
    <s v="Yes"/>
    <n v="1"/>
    <n v="20"/>
    <n v="12"/>
    <n v="18"/>
    <n v="0"/>
    <n v="0"/>
    <n v="1"/>
    <n v="0"/>
  </r>
  <r>
    <n v="3415"/>
    <s v="William Carvalho"/>
    <x v="1"/>
    <x v="183"/>
    <x v="1"/>
    <n v="5"/>
    <x v="0"/>
    <s v="No"/>
    <n v="0"/>
    <s v="-"/>
    <s v="No"/>
    <n v="0"/>
    <n v="0"/>
    <n v="2"/>
    <n v="3"/>
    <n v="0"/>
    <n v="1"/>
    <n v="0"/>
    <n v="0"/>
  </r>
  <r>
    <n v="3416"/>
    <s v="Ximena Barros"/>
    <x v="0"/>
    <x v="184"/>
    <x v="0"/>
    <n v="15"/>
    <x v="1"/>
    <s v="Yes"/>
    <n v="1"/>
    <n v="30"/>
    <s v="Yes"/>
    <n v="1"/>
    <n v="20"/>
    <n v="5"/>
    <n v="60"/>
    <n v="1"/>
    <n v="0"/>
    <n v="0"/>
    <n v="0"/>
  </r>
  <r>
    <n v="3417"/>
    <s v="Yara Machado"/>
    <x v="2"/>
    <x v="185"/>
    <x v="1"/>
    <n v="10"/>
    <x v="0"/>
    <s v="No"/>
    <n v="0"/>
    <s v="-"/>
    <s v="Yes"/>
    <n v="1"/>
    <n v="20"/>
    <n v="10"/>
    <n v="20"/>
    <n v="0"/>
    <n v="0"/>
    <n v="1"/>
    <n v="0"/>
  </r>
  <r>
    <n v="3418"/>
    <s v="Zacarias Costa"/>
    <x v="1"/>
    <x v="186"/>
    <x v="0"/>
    <n v="5"/>
    <x v="2"/>
    <s v="No"/>
    <n v="0"/>
    <s v="-"/>
    <s v="No"/>
    <n v="0"/>
    <n v="0"/>
    <n v="0"/>
    <n v="5"/>
    <n v="0"/>
    <n v="1"/>
    <n v="0"/>
    <n v="0"/>
  </r>
  <r>
    <n v="3419"/>
    <s v="André Lopes"/>
    <x v="0"/>
    <x v="187"/>
    <x v="1"/>
    <n v="15"/>
    <x v="0"/>
    <s v="Yes"/>
    <n v="1"/>
    <n v="30"/>
    <s v="Yes"/>
    <n v="1"/>
    <n v="20"/>
    <n v="3"/>
    <n v="62"/>
    <n v="1"/>
    <n v="0"/>
    <n v="0"/>
    <n v="0"/>
  </r>
  <r>
    <n v="3420"/>
    <s v="Beatriz Souza"/>
    <x v="2"/>
    <x v="188"/>
    <x v="0"/>
    <n v="10"/>
    <x v="1"/>
    <s v="No"/>
    <n v="0"/>
    <s v="-"/>
    <s v="Yes"/>
    <n v="1"/>
    <n v="20"/>
    <n v="15"/>
    <n v="15"/>
    <n v="0"/>
    <n v="0"/>
    <n v="1"/>
    <n v="0"/>
  </r>
  <r>
    <n v="3421"/>
    <s v="Caio Pereira"/>
    <x v="1"/>
    <x v="189"/>
    <x v="1"/>
    <n v="5"/>
    <x v="0"/>
    <s v="No"/>
    <n v="0"/>
    <s v="-"/>
    <s v="No"/>
    <n v="0"/>
    <n v="0"/>
    <n v="1"/>
    <n v="4"/>
    <n v="0"/>
    <n v="1"/>
    <n v="0"/>
    <n v="0"/>
  </r>
  <r>
    <n v="3422"/>
    <s v="Daniela Araújo"/>
    <x v="0"/>
    <x v="190"/>
    <x v="0"/>
    <n v="15"/>
    <x v="2"/>
    <s v="Yes"/>
    <n v="1"/>
    <n v="30"/>
    <s v="Yes"/>
    <n v="1"/>
    <n v="20"/>
    <n v="7"/>
    <n v="58"/>
    <n v="1"/>
    <n v="0"/>
    <n v="0"/>
    <n v="0"/>
  </r>
  <r>
    <n v="3423"/>
    <s v="Eduardo Santos"/>
    <x v="2"/>
    <x v="191"/>
    <x v="1"/>
    <n v="10"/>
    <x v="0"/>
    <s v="No"/>
    <n v="0"/>
    <s v="-"/>
    <s v="Yes"/>
    <n v="1"/>
    <n v="20"/>
    <n v="10"/>
    <n v="20"/>
    <n v="0"/>
    <n v="0"/>
    <n v="1"/>
    <n v="0"/>
  </r>
  <r>
    <n v="3424"/>
    <s v="Fernanda Lima"/>
    <x v="1"/>
    <x v="192"/>
    <x v="0"/>
    <n v="5"/>
    <x v="1"/>
    <s v="No"/>
    <n v="0"/>
    <s v="-"/>
    <s v="No"/>
    <n v="0"/>
    <n v="0"/>
    <n v="0"/>
    <n v="5"/>
    <n v="0"/>
    <n v="1"/>
    <n v="0"/>
    <n v="0"/>
  </r>
  <r>
    <n v="3425"/>
    <s v="Gabriel Teixeira"/>
    <x v="0"/>
    <x v="193"/>
    <x v="1"/>
    <n v="15"/>
    <x v="0"/>
    <s v="Yes"/>
    <n v="1"/>
    <n v="30"/>
    <s v="Yes"/>
    <n v="1"/>
    <n v="20"/>
    <n v="20"/>
    <n v="45"/>
    <n v="1"/>
    <n v="0"/>
    <n v="0"/>
    <n v="0"/>
  </r>
  <r>
    <n v="3426"/>
    <s v="Helena Ribeiro"/>
    <x v="2"/>
    <x v="194"/>
    <x v="0"/>
    <n v="10"/>
    <x v="2"/>
    <s v="No"/>
    <n v="0"/>
    <s v="-"/>
    <s v="Yes"/>
    <n v="1"/>
    <n v="20"/>
    <n v="15"/>
    <n v="15"/>
    <n v="0"/>
    <n v="0"/>
    <n v="1"/>
    <n v="0"/>
  </r>
  <r>
    <n v="3427"/>
    <s v="Igor Mendes"/>
    <x v="1"/>
    <x v="195"/>
    <x v="1"/>
    <n v="5"/>
    <x v="0"/>
    <s v="No"/>
    <n v="0"/>
    <s v="-"/>
    <s v="No"/>
    <n v="0"/>
    <n v="0"/>
    <n v="1"/>
    <n v="4"/>
    <n v="0"/>
    <n v="1"/>
    <n v="0"/>
    <n v="0"/>
  </r>
  <r>
    <n v="3428"/>
    <s v="Joana Silveira"/>
    <x v="0"/>
    <x v="196"/>
    <x v="0"/>
    <n v="15"/>
    <x v="1"/>
    <s v="Yes"/>
    <n v="1"/>
    <n v="30"/>
    <s v="Yes"/>
    <n v="1"/>
    <n v="20"/>
    <n v="3"/>
    <n v="62"/>
    <n v="1"/>
    <n v="0"/>
    <n v="0"/>
    <n v="0"/>
  </r>
  <r>
    <n v="3429"/>
    <s v="Lucas Martins"/>
    <x v="2"/>
    <x v="197"/>
    <x v="1"/>
    <n v="10"/>
    <x v="0"/>
    <s v="No"/>
    <n v="0"/>
    <s v="-"/>
    <s v="Yes"/>
    <n v="1"/>
    <n v="20"/>
    <n v="10"/>
    <n v="20"/>
    <n v="0"/>
    <n v="0"/>
    <n v="1"/>
    <n v="0"/>
  </r>
  <r>
    <n v="3430"/>
    <s v="Marcela Gouveia"/>
    <x v="1"/>
    <x v="198"/>
    <x v="0"/>
    <n v="5"/>
    <x v="2"/>
    <s v="No"/>
    <n v="0"/>
    <s v="-"/>
    <s v="No"/>
    <n v="0"/>
    <n v="0"/>
    <n v="0"/>
    <n v="5"/>
    <n v="0"/>
    <n v="1"/>
    <n v="0"/>
    <n v="0"/>
  </r>
  <r>
    <n v="3431"/>
    <s v="Nicolas Borges"/>
    <x v="0"/>
    <x v="199"/>
    <x v="1"/>
    <n v="15"/>
    <x v="0"/>
    <s v="Yes"/>
    <n v="1"/>
    <n v="30"/>
    <s v="Yes"/>
    <n v="1"/>
    <n v="20"/>
    <n v="15"/>
    <n v="50"/>
    <n v="1"/>
    <n v="0"/>
    <n v="0"/>
    <n v="0"/>
  </r>
  <r>
    <n v="3432"/>
    <s v="Olivia Freitas"/>
    <x v="2"/>
    <x v="200"/>
    <x v="0"/>
    <n v="10"/>
    <x v="1"/>
    <s v="No"/>
    <n v="0"/>
    <s v="-"/>
    <s v="Yes"/>
    <n v="1"/>
    <n v="20"/>
    <n v="15"/>
    <n v="15"/>
    <n v="0"/>
    <n v="0"/>
    <n v="1"/>
    <n v="0"/>
  </r>
  <r>
    <n v="3433"/>
    <s v="Paulo Nogueira"/>
    <x v="1"/>
    <x v="201"/>
    <x v="1"/>
    <n v="5"/>
    <x v="0"/>
    <s v="No"/>
    <n v="0"/>
    <s v="-"/>
    <s v="No"/>
    <n v="0"/>
    <n v="0"/>
    <n v="1"/>
    <n v="4"/>
    <n v="0"/>
    <n v="1"/>
    <n v="0"/>
    <n v="0"/>
  </r>
  <r>
    <n v="3434"/>
    <s v="Raquel Andrade"/>
    <x v="0"/>
    <x v="202"/>
    <x v="0"/>
    <n v="15"/>
    <x v="2"/>
    <s v="Yes"/>
    <n v="1"/>
    <n v="30"/>
    <s v="Yes"/>
    <n v="1"/>
    <n v="20"/>
    <n v="7"/>
    <n v="58"/>
    <n v="1"/>
    <n v="0"/>
    <n v="0"/>
    <n v="0"/>
  </r>
  <r>
    <n v="3435"/>
    <s v="Sônia Carvalho"/>
    <x v="2"/>
    <x v="203"/>
    <x v="1"/>
    <n v="10"/>
    <x v="0"/>
    <s v="No"/>
    <n v="0"/>
    <s v="-"/>
    <s v="Yes"/>
    <n v="1"/>
    <n v="20"/>
    <n v="10"/>
    <n v="20"/>
    <n v="0"/>
    <n v="0"/>
    <n v="1"/>
    <n v="0"/>
  </r>
  <r>
    <n v="3436"/>
    <s v="Tiago Rodrigues"/>
    <x v="1"/>
    <x v="204"/>
    <x v="0"/>
    <n v="5"/>
    <x v="0"/>
    <s v="No"/>
    <n v="0"/>
    <s v="-"/>
    <s v="No"/>
    <n v="0"/>
    <n v="0"/>
    <n v="0"/>
    <n v="5"/>
    <n v="0"/>
    <n v="1"/>
    <n v="0"/>
    <n v="0"/>
  </r>
  <r>
    <n v="3437"/>
    <s v="Ursula Monteiro"/>
    <x v="0"/>
    <x v="205"/>
    <x v="1"/>
    <n v="15"/>
    <x v="2"/>
    <s v="Yes"/>
    <n v="1"/>
    <n v="30"/>
    <s v="Yes"/>
    <n v="1"/>
    <n v="20"/>
    <n v="7"/>
    <n v="58"/>
    <n v="1"/>
    <n v="0"/>
    <n v="0"/>
    <n v="0"/>
  </r>
  <r>
    <n v="3438"/>
    <s v="Vanessa Pereira"/>
    <x v="2"/>
    <x v="206"/>
    <x v="0"/>
    <n v="10"/>
    <x v="1"/>
    <s v="No"/>
    <n v="0"/>
    <s v="-"/>
    <s v="Yes"/>
    <n v="1"/>
    <n v="20"/>
    <n v="10"/>
    <n v="20"/>
    <n v="0"/>
    <n v="0"/>
    <n v="1"/>
    <n v="0"/>
  </r>
  <r>
    <n v="3439"/>
    <s v="Walter Silva"/>
    <x v="1"/>
    <x v="207"/>
    <x v="1"/>
    <n v="5"/>
    <x v="2"/>
    <s v="No"/>
    <n v="0"/>
    <s v="-"/>
    <s v="No"/>
    <n v="0"/>
    <n v="0"/>
    <n v="1"/>
    <n v="4"/>
    <n v="0"/>
    <n v="1"/>
    <n v="0"/>
    <n v="0"/>
  </r>
  <r>
    <n v="3440"/>
    <s v="Xavier Almeida"/>
    <x v="0"/>
    <x v="208"/>
    <x v="0"/>
    <n v="15"/>
    <x v="0"/>
    <s v="Yes"/>
    <n v="1"/>
    <n v="30"/>
    <s v="Yes"/>
    <n v="1"/>
    <n v="20"/>
    <n v="15"/>
    <n v="50"/>
    <n v="1"/>
    <n v="0"/>
    <n v="0"/>
    <n v="0"/>
  </r>
  <r>
    <n v="3441"/>
    <s v="Yasmine Correia"/>
    <x v="2"/>
    <x v="209"/>
    <x v="1"/>
    <n v="10"/>
    <x v="0"/>
    <s v="No"/>
    <n v="0"/>
    <s v="-"/>
    <s v="Yes"/>
    <n v="1"/>
    <n v="20"/>
    <n v="5"/>
    <n v="25"/>
    <n v="0"/>
    <n v="0"/>
    <n v="1"/>
    <n v="0"/>
  </r>
  <r>
    <n v="3442"/>
    <s v="Zacarias Almeida"/>
    <x v="1"/>
    <x v="210"/>
    <x v="0"/>
    <n v="5"/>
    <x v="1"/>
    <s v="No"/>
    <n v="0"/>
    <s v="-"/>
    <s v="No"/>
    <n v="0"/>
    <n v="0"/>
    <n v="0"/>
    <n v="5"/>
    <n v="0"/>
    <n v="1"/>
    <n v="0"/>
    <n v="0"/>
  </r>
  <r>
    <n v="3443"/>
    <s v="Amanda Costa"/>
    <x v="0"/>
    <x v="211"/>
    <x v="1"/>
    <n v="15"/>
    <x v="2"/>
    <s v="Yes"/>
    <n v="1"/>
    <n v="30"/>
    <s v="Yes"/>
    <n v="1"/>
    <n v="20"/>
    <n v="20"/>
    <n v="45"/>
    <n v="1"/>
    <n v="0"/>
    <n v="0"/>
    <n v="0"/>
  </r>
  <r>
    <n v="3444"/>
    <s v="Bruno Ferreira"/>
    <x v="2"/>
    <x v="212"/>
    <x v="0"/>
    <n v="10"/>
    <x v="2"/>
    <s v="No"/>
    <n v="0"/>
    <s v="-"/>
    <s v="Yes"/>
    <n v="1"/>
    <n v="20"/>
    <n v="12"/>
    <n v="18"/>
    <n v="0"/>
    <n v="0"/>
    <n v="1"/>
    <n v="0"/>
  </r>
  <r>
    <n v="3445"/>
    <s v="Carla Dias"/>
    <x v="1"/>
    <x v="213"/>
    <x v="1"/>
    <n v="5"/>
    <x v="0"/>
    <s v="No"/>
    <n v="0"/>
    <s v="-"/>
    <s v="No"/>
    <n v="0"/>
    <n v="0"/>
    <n v="2"/>
    <n v="3"/>
    <n v="0"/>
    <n v="1"/>
    <n v="0"/>
    <n v="0"/>
  </r>
  <r>
    <n v="3446"/>
    <s v="Diogo Martins"/>
    <x v="0"/>
    <x v="214"/>
    <x v="0"/>
    <n v="15"/>
    <x v="1"/>
    <s v="Yes"/>
    <n v="1"/>
    <n v="30"/>
    <s v="Yes"/>
    <n v="1"/>
    <n v="20"/>
    <n v="5"/>
    <n v="60"/>
    <n v="1"/>
    <n v="0"/>
    <n v="0"/>
    <n v="0"/>
  </r>
  <r>
    <n v="3447"/>
    <s v="Elisa Campos"/>
    <x v="2"/>
    <x v="215"/>
    <x v="1"/>
    <n v="10"/>
    <x v="0"/>
    <s v="No"/>
    <n v="0"/>
    <s v="-"/>
    <s v="Yes"/>
    <n v="1"/>
    <n v="20"/>
    <n v="10"/>
    <n v="20"/>
    <n v="0"/>
    <n v="0"/>
    <n v="1"/>
    <n v="0"/>
  </r>
  <r>
    <n v="3448"/>
    <s v="Fabiana Lima"/>
    <x v="1"/>
    <x v="216"/>
    <x v="0"/>
    <n v="5"/>
    <x v="2"/>
    <s v="No"/>
    <n v="0"/>
    <s v="-"/>
    <s v="No"/>
    <n v="0"/>
    <n v="0"/>
    <n v="0"/>
    <n v="5"/>
    <n v="0"/>
    <n v="1"/>
    <n v="0"/>
    <n v="0"/>
  </r>
  <r>
    <n v="3449"/>
    <s v="Gabriel Santos"/>
    <x v="0"/>
    <x v="217"/>
    <x v="1"/>
    <n v="15"/>
    <x v="0"/>
    <s v="Yes"/>
    <n v="1"/>
    <n v="30"/>
    <s v="Yes"/>
    <n v="1"/>
    <n v="20"/>
    <n v="3"/>
    <n v="62"/>
    <n v="1"/>
    <n v="0"/>
    <n v="0"/>
    <n v="0"/>
  </r>
  <r>
    <n v="3450"/>
    <s v="Helena Ferreira"/>
    <x v="2"/>
    <x v="218"/>
    <x v="0"/>
    <n v="10"/>
    <x v="1"/>
    <s v="No"/>
    <n v="0"/>
    <s v="-"/>
    <s v="Yes"/>
    <n v="1"/>
    <n v="20"/>
    <n v="15"/>
    <n v="15"/>
    <n v="0"/>
    <n v="0"/>
    <n v="1"/>
    <n v="0"/>
  </r>
  <r>
    <n v="3451"/>
    <s v="Ígor Nunes"/>
    <x v="1"/>
    <x v="219"/>
    <x v="1"/>
    <n v="5"/>
    <x v="0"/>
    <s v="No"/>
    <n v="0"/>
    <s v="-"/>
    <s v="No"/>
    <n v="0"/>
    <n v="0"/>
    <n v="1"/>
    <n v="4"/>
    <n v="0"/>
    <n v="1"/>
    <n v="0"/>
    <n v="0"/>
  </r>
  <r>
    <n v="3452"/>
    <s v="Joana Silveira"/>
    <x v="0"/>
    <x v="220"/>
    <x v="0"/>
    <n v="15"/>
    <x v="2"/>
    <s v="Yes"/>
    <n v="1"/>
    <n v="30"/>
    <s v="Yes"/>
    <n v="1"/>
    <n v="20"/>
    <n v="7"/>
    <n v="58"/>
    <n v="1"/>
    <n v="0"/>
    <n v="0"/>
    <n v="0"/>
  </r>
  <r>
    <n v="3453"/>
    <s v="Kléber Oliveira"/>
    <x v="2"/>
    <x v="221"/>
    <x v="1"/>
    <n v="10"/>
    <x v="0"/>
    <s v="No"/>
    <n v="0"/>
    <s v="-"/>
    <s v="Yes"/>
    <n v="1"/>
    <n v="20"/>
    <n v="10"/>
    <n v="20"/>
    <n v="0"/>
    <n v="0"/>
    <n v="1"/>
    <n v="0"/>
  </r>
  <r>
    <n v="3454"/>
    <s v="Luciana Morais"/>
    <x v="1"/>
    <x v="222"/>
    <x v="0"/>
    <n v="5"/>
    <x v="1"/>
    <s v="No"/>
    <n v="0"/>
    <s v="-"/>
    <s v="No"/>
    <n v="0"/>
    <n v="0"/>
    <n v="0"/>
    <n v="5"/>
    <n v="0"/>
    <n v="1"/>
    <n v="0"/>
    <n v="0"/>
  </r>
  <r>
    <n v="3455"/>
    <s v="Marcos Vinícius"/>
    <x v="0"/>
    <x v="223"/>
    <x v="1"/>
    <n v="15"/>
    <x v="0"/>
    <s v="Yes"/>
    <n v="1"/>
    <n v="30"/>
    <s v="Yes"/>
    <n v="1"/>
    <n v="20"/>
    <n v="20"/>
    <n v="45"/>
    <n v="1"/>
    <n v="0"/>
    <n v="0"/>
    <n v="0"/>
  </r>
  <r>
    <n v="3456"/>
    <s v="Natália Barros"/>
    <x v="2"/>
    <x v="224"/>
    <x v="0"/>
    <n v="10"/>
    <x v="2"/>
    <s v="No"/>
    <n v="0"/>
    <s v="-"/>
    <s v="Yes"/>
    <n v="1"/>
    <n v="20"/>
    <n v="15"/>
    <n v="15"/>
    <n v="0"/>
    <n v="0"/>
    <n v="1"/>
    <n v="0"/>
  </r>
  <r>
    <n v="3457"/>
    <s v="Oscar Sampaio"/>
    <x v="1"/>
    <x v="225"/>
    <x v="1"/>
    <n v="5"/>
    <x v="0"/>
    <s v="No"/>
    <n v="0"/>
    <s v="-"/>
    <s v="No"/>
    <n v="0"/>
    <n v="0"/>
    <n v="1"/>
    <n v="4"/>
    <n v="0"/>
    <n v="1"/>
    <n v="0"/>
    <n v="0"/>
  </r>
  <r>
    <n v="3458"/>
    <s v="Patrícia Leite"/>
    <x v="0"/>
    <x v="226"/>
    <x v="0"/>
    <n v="15"/>
    <x v="1"/>
    <s v="Yes"/>
    <n v="1"/>
    <n v="30"/>
    <s v="Yes"/>
    <n v="1"/>
    <n v="20"/>
    <n v="3"/>
    <n v="62"/>
    <n v="1"/>
    <n v="0"/>
    <n v="0"/>
    <n v="0"/>
  </r>
  <r>
    <n v="3459"/>
    <s v="Quênia Rocha"/>
    <x v="2"/>
    <x v="227"/>
    <x v="1"/>
    <n v="10"/>
    <x v="0"/>
    <s v="No"/>
    <n v="0"/>
    <s v="-"/>
    <s v="Yes"/>
    <n v="1"/>
    <n v="20"/>
    <n v="10"/>
    <n v="20"/>
    <n v="0"/>
    <n v="0"/>
    <n v="1"/>
    <n v="0"/>
  </r>
  <r>
    <n v="3460"/>
    <s v="Rafael Torres"/>
    <x v="1"/>
    <x v="228"/>
    <x v="0"/>
    <n v="5"/>
    <x v="2"/>
    <s v="No"/>
    <n v="0"/>
    <s v="-"/>
    <s v="No"/>
    <n v="0"/>
    <n v="0"/>
    <n v="0"/>
    <n v="5"/>
    <n v="0"/>
    <n v="1"/>
    <n v="0"/>
    <n v="0"/>
  </r>
  <r>
    <n v="3461"/>
    <s v="Sandra Gouveia"/>
    <x v="0"/>
    <x v="229"/>
    <x v="1"/>
    <n v="15"/>
    <x v="0"/>
    <s v="Yes"/>
    <n v="1"/>
    <n v="30"/>
    <s v="Yes"/>
    <n v="1"/>
    <n v="20"/>
    <n v="15"/>
    <n v="50"/>
    <n v="1"/>
    <n v="0"/>
    <n v="0"/>
    <n v="0"/>
  </r>
  <r>
    <n v="3462"/>
    <s v="Tiago Lacerda"/>
    <x v="2"/>
    <x v="230"/>
    <x v="0"/>
    <n v="10"/>
    <x v="1"/>
    <s v="No"/>
    <n v="0"/>
    <s v="-"/>
    <s v="Yes"/>
    <n v="1"/>
    <n v="20"/>
    <n v="15"/>
    <n v="15"/>
    <n v="0"/>
    <n v="0"/>
    <n v="1"/>
    <n v="0"/>
  </r>
  <r>
    <n v="3463"/>
    <s v="Ursula Fonseca"/>
    <x v="1"/>
    <x v="231"/>
    <x v="1"/>
    <n v="5"/>
    <x v="0"/>
    <s v="No"/>
    <n v="0"/>
    <s v="-"/>
    <s v="No"/>
    <n v="0"/>
    <n v="0"/>
    <n v="1"/>
    <n v="4"/>
    <n v="0"/>
    <n v="1"/>
    <n v="0"/>
    <n v="0"/>
  </r>
  <r>
    <n v="3464"/>
    <s v="Vanessa Andrade"/>
    <x v="0"/>
    <x v="232"/>
    <x v="0"/>
    <n v="15"/>
    <x v="2"/>
    <s v="Yes"/>
    <n v="1"/>
    <n v="30"/>
    <s v="Yes"/>
    <n v="1"/>
    <n v="20"/>
    <n v="7"/>
    <n v="58"/>
    <n v="1"/>
    <n v="0"/>
    <n v="0"/>
    <n v="0"/>
  </r>
  <r>
    <n v="3465"/>
    <s v="William Castro"/>
    <x v="2"/>
    <x v="233"/>
    <x v="1"/>
    <n v="10"/>
    <x v="0"/>
    <s v="No"/>
    <n v="0"/>
    <s v="-"/>
    <s v="Yes"/>
    <n v="1"/>
    <n v="20"/>
    <n v="10"/>
    <n v="20"/>
    <n v="0"/>
    <n v="0"/>
    <n v="1"/>
    <n v="0"/>
  </r>
  <r>
    <n v="3466"/>
    <s v="Xavier Monteiro"/>
    <x v="1"/>
    <x v="234"/>
    <x v="0"/>
    <n v="5"/>
    <x v="1"/>
    <s v="No"/>
    <n v="0"/>
    <s v="-"/>
    <s v="No"/>
    <n v="0"/>
    <n v="0"/>
    <n v="0"/>
    <n v="5"/>
    <n v="0"/>
    <n v="1"/>
    <n v="0"/>
    <n v="0"/>
  </r>
  <r>
    <n v="3467"/>
    <s v="Yasmin Figueira"/>
    <x v="0"/>
    <x v="235"/>
    <x v="1"/>
    <n v="15"/>
    <x v="0"/>
    <s v="Yes"/>
    <n v="1"/>
    <n v="30"/>
    <s v="Yes"/>
    <n v="1"/>
    <n v="20"/>
    <n v="15"/>
    <n v="50"/>
    <n v="1"/>
    <n v="0"/>
    <n v="0"/>
    <n v="0"/>
  </r>
  <r>
    <n v="3468"/>
    <s v="Zacarias Mendonça"/>
    <x v="2"/>
    <x v="236"/>
    <x v="0"/>
    <n v="10"/>
    <x v="2"/>
    <s v="No"/>
    <n v="0"/>
    <s v="-"/>
    <s v="Yes"/>
    <n v="1"/>
    <n v="20"/>
    <n v="12"/>
    <n v="18"/>
    <n v="0"/>
    <n v="0"/>
    <n v="1"/>
    <n v="0"/>
  </r>
  <r>
    <n v="3469"/>
    <s v="Amanda Menezes"/>
    <x v="1"/>
    <x v="237"/>
    <x v="1"/>
    <n v="5"/>
    <x v="0"/>
    <s v="No"/>
    <n v="0"/>
    <s v="-"/>
    <s v="No"/>
    <n v="0"/>
    <n v="0"/>
    <n v="2"/>
    <n v="3"/>
    <n v="0"/>
    <n v="1"/>
    <n v="0"/>
    <n v="0"/>
  </r>
  <r>
    <n v="3470"/>
    <s v="Bruno Santos"/>
    <x v="0"/>
    <x v="238"/>
    <x v="0"/>
    <n v="15"/>
    <x v="1"/>
    <s v="Yes"/>
    <n v="1"/>
    <n v="30"/>
    <s v="Yes"/>
    <n v="1"/>
    <n v="20"/>
    <n v="5"/>
    <n v="60"/>
    <n v="1"/>
    <n v="0"/>
    <n v="0"/>
    <n v="0"/>
  </r>
  <r>
    <n v="3471"/>
    <s v="Carla Ferreira"/>
    <x v="2"/>
    <x v="239"/>
    <x v="1"/>
    <n v="10"/>
    <x v="0"/>
    <s v="No"/>
    <n v="0"/>
    <s v="-"/>
    <s v="Yes"/>
    <n v="1"/>
    <n v="20"/>
    <n v="10"/>
    <n v="20"/>
    <n v="0"/>
    <n v="0"/>
    <n v="1"/>
    <n v="0"/>
  </r>
  <r>
    <n v="3472"/>
    <s v="Diogo Alves"/>
    <x v="1"/>
    <x v="240"/>
    <x v="0"/>
    <n v="5"/>
    <x v="2"/>
    <s v="No"/>
    <n v="0"/>
    <s v="-"/>
    <s v="No"/>
    <n v="0"/>
    <n v="0"/>
    <n v="0"/>
    <n v="5"/>
    <n v="0"/>
    <n v="1"/>
    <n v="0"/>
    <n v="0"/>
  </r>
  <r>
    <n v="3473"/>
    <s v="Elisa Neves"/>
    <x v="0"/>
    <x v="241"/>
    <x v="1"/>
    <n v="15"/>
    <x v="0"/>
    <s v="Yes"/>
    <n v="1"/>
    <n v="30"/>
    <s v="Yes"/>
    <n v="1"/>
    <n v="20"/>
    <n v="3"/>
    <n v="62"/>
    <n v="1"/>
    <n v="0"/>
    <n v="0"/>
    <n v="0"/>
  </r>
  <r>
    <n v="3474"/>
    <s v="Fabiano Pires"/>
    <x v="2"/>
    <x v="242"/>
    <x v="0"/>
    <n v="10"/>
    <x v="1"/>
    <s v="No"/>
    <n v="0"/>
    <s v="-"/>
    <s v="Yes"/>
    <n v="1"/>
    <n v="20"/>
    <n v="15"/>
    <n v="15"/>
    <n v="0"/>
    <n v="0"/>
    <n v="1"/>
    <n v="0"/>
  </r>
  <r>
    <n v="3475"/>
    <s v="Giovana Ribeiro"/>
    <x v="1"/>
    <x v="243"/>
    <x v="1"/>
    <n v="5"/>
    <x v="0"/>
    <s v="No"/>
    <n v="0"/>
    <s v="-"/>
    <s v="No"/>
    <n v="0"/>
    <n v="0"/>
    <n v="1"/>
    <n v="4"/>
    <n v="0"/>
    <n v="1"/>
    <n v="0"/>
    <n v="0"/>
  </r>
  <r>
    <n v="3476"/>
    <s v="Hélio Costa"/>
    <x v="0"/>
    <x v="244"/>
    <x v="0"/>
    <n v="15"/>
    <x v="2"/>
    <s v="Yes"/>
    <n v="1"/>
    <n v="30"/>
    <s v="Yes"/>
    <n v="1"/>
    <n v="20"/>
    <n v="7"/>
    <n v="58"/>
    <n v="1"/>
    <n v="0"/>
    <n v="0"/>
    <n v="0"/>
  </r>
  <r>
    <n v="3477"/>
    <s v="Íris Loureiro"/>
    <x v="2"/>
    <x v="245"/>
    <x v="1"/>
    <n v="10"/>
    <x v="0"/>
    <s v="No"/>
    <n v="0"/>
    <s v="-"/>
    <s v="Yes"/>
    <n v="1"/>
    <n v="20"/>
    <n v="10"/>
    <n v="20"/>
    <n v="0"/>
    <n v="0"/>
    <n v="1"/>
    <n v="0"/>
  </r>
  <r>
    <n v="3478"/>
    <s v="João Pereira"/>
    <x v="1"/>
    <x v="246"/>
    <x v="0"/>
    <n v="5"/>
    <x v="1"/>
    <s v="No"/>
    <n v="0"/>
    <s v="-"/>
    <s v="No"/>
    <n v="0"/>
    <n v="0"/>
    <n v="0"/>
    <n v="5"/>
    <n v="0"/>
    <n v="1"/>
    <n v="0"/>
    <n v="0"/>
  </r>
  <r>
    <n v="3479"/>
    <s v="Klara Silva"/>
    <x v="0"/>
    <x v="247"/>
    <x v="1"/>
    <n v="15"/>
    <x v="0"/>
    <s v="Yes"/>
    <n v="1"/>
    <n v="30"/>
    <s v="Yes"/>
    <n v="1"/>
    <n v="20"/>
    <n v="20"/>
    <n v="45"/>
    <n v="1"/>
    <n v="0"/>
    <n v="0"/>
    <n v="0"/>
  </r>
  <r>
    <n v="3480"/>
    <s v="Luciana Barros"/>
    <x v="2"/>
    <x v="248"/>
    <x v="0"/>
    <n v="10"/>
    <x v="2"/>
    <s v="No"/>
    <n v="0"/>
    <s v="-"/>
    <s v="Yes"/>
    <n v="1"/>
    <n v="20"/>
    <n v="15"/>
    <n v="15"/>
    <n v="0"/>
    <n v="0"/>
    <n v="1"/>
    <n v="0"/>
  </r>
  <r>
    <n v="3481"/>
    <s v="Marcos Gomes"/>
    <x v="1"/>
    <x v="249"/>
    <x v="1"/>
    <n v="5"/>
    <x v="0"/>
    <s v="No"/>
    <n v="0"/>
    <s v="-"/>
    <s v="No"/>
    <n v="0"/>
    <n v="0"/>
    <n v="1"/>
    <n v="4"/>
    <n v="0"/>
    <n v="1"/>
    <n v="0"/>
    <n v="0"/>
  </r>
  <r>
    <n v="3482"/>
    <s v="Natália Soares"/>
    <x v="0"/>
    <x v="250"/>
    <x v="0"/>
    <n v="15"/>
    <x v="1"/>
    <s v="Yes"/>
    <n v="1"/>
    <n v="30"/>
    <s v="Yes"/>
    <n v="1"/>
    <n v="20"/>
    <n v="3"/>
    <n v="62"/>
    <n v="1"/>
    <n v="0"/>
    <n v="0"/>
    <n v="0"/>
  </r>
  <r>
    <n v="3483"/>
    <s v="Oscar Machado"/>
    <x v="2"/>
    <x v="251"/>
    <x v="1"/>
    <n v="10"/>
    <x v="0"/>
    <s v="No"/>
    <n v="0"/>
    <s v="-"/>
    <s v="Yes"/>
    <n v="1"/>
    <n v="20"/>
    <n v="10"/>
    <n v="20"/>
    <n v="0"/>
    <n v="0"/>
    <n v="1"/>
    <n v="0"/>
  </r>
  <r>
    <n v="3484"/>
    <s v="Patrícia Lima"/>
    <x v="1"/>
    <x v="252"/>
    <x v="0"/>
    <n v="5"/>
    <x v="2"/>
    <s v="No"/>
    <n v="0"/>
    <s v="-"/>
    <s v="No"/>
    <n v="0"/>
    <n v="0"/>
    <n v="0"/>
    <n v="5"/>
    <n v="0"/>
    <n v="1"/>
    <n v="0"/>
    <n v="0"/>
  </r>
  <r>
    <n v="3485"/>
    <s v="Quirino Neto"/>
    <x v="0"/>
    <x v="253"/>
    <x v="1"/>
    <n v="15"/>
    <x v="0"/>
    <s v="Yes"/>
    <n v="1"/>
    <n v="30"/>
    <s v="Yes"/>
    <n v="1"/>
    <n v="20"/>
    <n v="15"/>
    <n v="50"/>
    <n v="1"/>
    <n v="0"/>
    <n v="0"/>
    <n v="0"/>
  </r>
  <r>
    <n v="3486"/>
    <s v="Rafaela Souza"/>
    <x v="1"/>
    <x v="254"/>
    <x v="0"/>
    <n v="5"/>
    <x v="0"/>
    <s v="No"/>
    <n v="0"/>
    <s v="-"/>
    <s v="No"/>
    <n v="0"/>
    <n v="0"/>
    <n v="0"/>
    <n v="5"/>
    <n v="0"/>
    <n v="1"/>
    <n v="0"/>
    <n v="0"/>
  </r>
  <r>
    <n v="3487"/>
    <s v="Sandro Almeida"/>
    <x v="0"/>
    <x v="255"/>
    <x v="1"/>
    <n v="15"/>
    <x v="2"/>
    <s v="Yes"/>
    <n v="1"/>
    <n v="30"/>
    <s v="Yes"/>
    <n v="1"/>
    <n v="20"/>
    <n v="7"/>
    <n v="58"/>
    <n v="1"/>
    <n v="0"/>
    <n v="0"/>
    <n v="0"/>
  </r>
  <r>
    <n v="3488"/>
    <s v="Tânia Ribeiro"/>
    <x v="2"/>
    <x v="256"/>
    <x v="0"/>
    <n v="10"/>
    <x v="1"/>
    <s v="No"/>
    <n v="0"/>
    <s v="-"/>
    <s v="Yes"/>
    <n v="1"/>
    <n v="20"/>
    <n v="10"/>
    <n v="20"/>
    <n v="0"/>
    <n v="0"/>
    <n v="1"/>
    <n v="0"/>
  </r>
  <r>
    <n v="3489"/>
    <s v="Ugo Dias"/>
    <x v="1"/>
    <x v="257"/>
    <x v="1"/>
    <n v="5"/>
    <x v="2"/>
    <s v="No"/>
    <n v="0"/>
    <s v="-"/>
    <s v="No"/>
    <n v="0"/>
    <n v="0"/>
    <n v="1"/>
    <n v="4"/>
    <n v="0"/>
    <n v="1"/>
    <n v="0"/>
    <n v="0"/>
  </r>
  <r>
    <n v="3490"/>
    <s v="Valéria Lima"/>
    <x v="0"/>
    <x v="258"/>
    <x v="0"/>
    <n v="15"/>
    <x v="0"/>
    <s v="Yes"/>
    <n v="1"/>
    <n v="30"/>
    <s v="Yes"/>
    <n v="1"/>
    <n v="20"/>
    <n v="15"/>
    <n v="50"/>
    <n v="1"/>
    <n v="0"/>
    <n v="0"/>
    <n v="0"/>
  </r>
  <r>
    <n v="3491"/>
    <s v="William Fernandes"/>
    <x v="2"/>
    <x v="259"/>
    <x v="1"/>
    <n v="10"/>
    <x v="0"/>
    <s v="No"/>
    <n v="0"/>
    <s v="-"/>
    <s v="Yes"/>
    <n v="1"/>
    <n v="20"/>
    <n v="5"/>
    <n v="25"/>
    <n v="0"/>
    <n v="0"/>
    <n v="1"/>
    <n v="0"/>
  </r>
  <r>
    <n v="3492"/>
    <s v="Xuxa Mendes"/>
    <x v="1"/>
    <x v="260"/>
    <x v="0"/>
    <n v="5"/>
    <x v="1"/>
    <s v="No"/>
    <n v="0"/>
    <s v="-"/>
    <s v="No"/>
    <n v="0"/>
    <n v="0"/>
    <n v="0"/>
    <n v="5"/>
    <n v="0"/>
    <n v="1"/>
    <n v="0"/>
    <n v="0"/>
  </r>
  <r>
    <n v="3493"/>
    <s v="Ygor Farias"/>
    <x v="0"/>
    <x v="261"/>
    <x v="1"/>
    <n v="15"/>
    <x v="2"/>
    <s v="Yes"/>
    <n v="1"/>
    <n v="30"/>
    <s v="Yes"/>
    <n v="1"/>
    <n v="20"/>
    <n v="20"/>
    <n v="45"/>
    <n v="1"/>
    <n v="0"/>
    <n v="0"/>
    <n v="0"/>
  </r>
  <r>
    <n v="3494"/>
    <s v="Zilda Barros"/>
    <x v="2"/>
    <x v="262"/>
    <x v="0"/>
    <n v="10"/>
    <x v="2"/>
    <s v="No"/>
    <n v="0"/>
    <s v="-"/>
    <s v="Yes"/>
    <n v="1"/>
    <n v="20"/>
    <n v="12"/>
    <n v="18"/>
    <n v="0"/>
    <n v="0"/>
    <n v="1"/>
    <n v="0"/>
  </r>
  <r>
    <n v="3495"/>
    <s v="Amanda Santos"/>
    <x v="1"/>
    <x v="263"/>
    <x v="1"/>
    <n v="5"/>
    <x v="0"/>
    <s v="No"/>
    <n v="0"/>
    <s v="-"/>
    <s v="No"/>
    <n v="0"/>
    <n v="0"/>
    <n v="2"/>
    <n v="3"/>
    <n v="0"/>
    <n v="1"/>
    <n v="0"/>
    <n v="0"/>
  </r>
  <r>
    <n v="3496"/>
    <s v="Bruno Costa"/>
    <x v="0"/>
    <x v="264"/>
    <x v="0"/>
    <n v="15"/>
    <x v="1"/>
    <s v="Yes"/>
    <n v="1"/>
    <n v="30"/>
    <s v="Yes"/>
    <n v="1"/>
    <n v="20"/>
    <n v="5"/>
    <n v="60"/>
    <n v="1"/>
    <n v="0"/>
    <n v="0"/>
    <n v="0"/>
  </r>
  <r>
    <n v="3497"/>
    <s v="Carla Rodrigues"/>
    <x v="2"/>
    <x v="265"/>
    <x v="1"/>
    <n v="10"/>
    <x v="0"/>
    <s v="No"/>
    <n v="0"/>
    <s v="-"/>
    <s v="Yes"/>
    <n v="1"/>
    <n v="20"/>
    <n v="10"/>
    <n v="20"/>
    <n v="0"/>
    <n v="0"/>
    <n v="1"/>
    <n v="0"/>
  </r>
  <r>
    <n v="3498"/>
    <s v="Diogo Pereira"/>
    <x v="1"/>
    <x v="266"/>
    <x v="0"/>
    <n v="5"/>
    <x v="2"/>
    <s v="No"/>
    <n v="0"/>
    <s v="-"/>
    <s v="No"/>
    <n v="0"/>
    <n v="0"/>
    <n v="0"/>
    <n v="5"/>
    <n v="0"/>
    <n v="1"/>
    <n v="0"/>
    <n v="0"/>
  </r>
  <r>
    <n v="3499"/>
    <s v="Elisa Correia"/>
    <x v="0"/>
    <x v="267"/>
    <x v="1"/>
    <n v="15"/>
    <x v="0"/>
    <s v="Yes"/>
    <n v="1"/>
    <n v="30"/>
    <s v="Yes"/>
    <n v="1"/>
    <n v="20"/>
    <n v="3"/>
    <n v="62"/>
    <n v="1"/>
    <n v="0"/>
    <n v="0"/>
    <n v="0"/>
  </r>
  <r>
    <n v="3500"/>
    <s v="Fábio Lourenço"/>
    <x v="2"/>
    <x v="268"/>
    <x v="0"/>
    <n v="10"/>
    <x v="1"/>
    <s v="No"/>
    <n v="0"/>
    <s v="-"/>
    <s v="Yes"/>
    <n v="1"/>
    <n v="20"/>
    <n v="15"/>
    <n v="15"/>
    <n v="0"/>
    <n v="0"/>
    <n v="1"/>
    <n v="0"/>
  </r>
  <r>
    <n v="3501"/>
    <s v="Gabriela Neves"/>
    <x v="1"/>
    <x v="269"/>
    <x v="1"/>
    <n v="5"/>
    <x v="0"/>
    <s v="No"/>
    <n v="0"/>
    <s v="-"/>
    <s v="No"/>
    <n v="0"/>
    <n v="0"/>
    <n v="1"/>
    <n v="4"/>
    <n v="0"/>
    <n v="1"/>
    <n v="0"/>
    <n v="0"/>
  </r>
  <r>
    <n v="3502"/>
    <s v="Henrique Gonçalves"/>
    <x v="0"/>
    <x v="270"/>
    <x v="0"/>
    <n v="15"/>
    <x v="2"/>
    <s v="Yes"/>
    <n v="1"/>
    <n v="30"/>
    <s v="Yes"/>
    <n v="1"/>
    <n v="20"/>
    <n v="7"/>
    <n v="58"/>
    <n v="1"/>
    <n v="0"/>
    <n v="0"/>
    <n v="0"/>
  </r>
  <r>
    <n v="3503"/>
    <s v="Íris Santos"/>
    <x v="2"/>
    <x v="271"/>
    <x v="1"/>
    <n v="10"/>
    <x v="0"/>
    <s v="No"/>
    <n v="0"/>
    <s v="-"/>
    <s v="Yes"/>
    <n v="1"/>
    <n v="20"/>
    <n v="10"/>
    <n v="20"/>
    <n v="0"/>
    <n v="0"/>
    <n v="1"/>
    <n v="0"/>
  </r>
  <r>
    <n v="3504"/>
    <s v="João Marcelo Alves"/>
    <x v="1"/>
    <x v="272"/>
    <x v="0"/>
    <n v="5"/>
    <x v="1"/>
    <s v="No"/>
    <n v="0"/>
    <s v="-"/>
    <s v="No"/>
    <n v="0"/>
    <n v="0"/>
    <n v="0"/>
    <n v="5"/>
    <n v="0"/>
    <n v="1"/>
    <n v="0"/>
    <n v="0"/>
  </r>
  <r>
    <n v="3505"/>
    <s v="Klara Fonseca"/>
    <x v="0"/>
    <x v="273"/>
    <x v="1"/>
    <n v="15"/>
    <x v="0"/>
    <s v="Yes"/>
    <n v="1"/>
    <n v="30"/>
    <s v="Yes"/>
    <n v="1"/>
    <n v="20"/>
    <n v="20"/>
    <n v="45"/>
    <n v="1"/>
    <n v="0"/>
    <n v="0"/>
    <n v="0"/>
  </r>
  <r>
    <n v="3506"/>
    <s v="Lucas Mendonça"/>
    <x v="2"/>
    <x v="274"/>
    <x v="0"/>
    <n v="10"/>
    <x v="2"/>
    <s v="No"/>
    <n v="0"/>
    <s v="-"/>
    <s v="Yes"/>
    <n v="1"/>
    <n v="20"/>
    <n v="15"/>
    <n v="15"/>
    <n v="0"/>
    <n v="0"/>
    <n v="1"/>
    <n v="0"/>
  </r>
  <r>
    <n v="3507"/>
    <s v="Marcela Torres"/>
    <x v="1"/>
    <x v="275"/>
    <x v="1"/>
    <n v="5"/>
    <x v="0"/>
    <s v="No"/>
    <n v="0"/>
    <s v="-"/>
    <s v="No"/>
    <n v="0"/>
    <n v="0"/>
    <n v="1"/>
    <n v="4"/>
    <n v="0"/>
    <n v="1"/>
    <n v="0"/>
    <n v="0"/>
  </r>
  <r>
    <n v="3508"/>
    <s v="Natália Castro"/>
    <x v="0"/>
    <x v="276"/>
    <x v="0"/>
    <n v="15"/>
    <x v="1"/>
    <s v="Yes"/>
    <n v="1"/>
    <n v="30"/>
    <s v="Yes"/>
    <n v="1"/>
    <n v="20"/>
    <n v="3"/>
    <n v="62"/>
    <n v="1"/>
    <n v="0"/>
    <n v="0"/>
    <n v="0"/>
  </r>
  <r>
    <n v="3509"/>
    <s v="Oscar Martins"/>
    <x v="2"/>
    <x v="277"/>
    <x v="1"/>
    <n v="10"/>
    <x v="0"/>
    <s v="No"/>
    <n v="0"/>
    <s v="-"/>
    <s v="Yes"/>
    <n v="1"/>
    <n v="20"/>
    <n v="10"/>
    <n v="20"/>
    <n v="0"/>
    <n v="0"/>
    <n v="1"/>
    <n v="0"/>
  </r>
  <r>
    <n v="3510"/>
    <s v="Patrícia Oliveira"/>
    <x v="1"/>
    <x v="278"/>
    <x v="0"/>
    <n v="5"/>
    <x v="2"/>
    <s v="No"/>
    <n v="0"/>
    <s v="-"/>
    <s v="No"/>
    <n v="0"/>
    <n v="0"/>
    <n v="0"/>
    <n v="5"/>
    <n v="0"/>
    <n v="1"/>
    <n v="0"/>
    <n v="0"/>
  </r>
  <r>
    <n v="3511"/>
    <s v="Quentin Nogueira"/>
    <x v="0"/>
    <x v="279"/>
    <x v="1"/>
    <n v="15"/>
    <x v="0"/>
    <s v="Yes"/>
    <n v="1"/>
    <n v="30"/>
    <s v="Yes"/>
    <n v="1"/>
    <n v="20"/>
    <n v="15"/>
    <n v="50"/>
    <n v="1"/>
    <n v="0"/>
    <n v="0"/>
    <n v="0"/>
  </r>
  <r>
    <n v="3512"/>
    <s v="Raquel Silva"/>
    <x v="2"/>
    <x v="280"/>
    <x v="0"/>
    <n v="10"/>
    <x v="1"/>
    <s v="No"/>
    <n v="0"/>
    <s v="-"/>
    <s v="Yes"/>
    <n v="1"/>
    <n v="20"/>
    <n v="15"/>
    <n v="15"/>
    <n v="0"/>
    <n v="0"/>
    <n v="1"/>
    <n v="0"/>
  </r>
  <r>
    <n v="3513"/>
    <s v="Sandro Gomes"/>
    <x v="1"/>
    <x v="281"/>
    <x v="1"/>
    <n v="5"/>
    <x v="0"/>
    <s v="No"/>
    <n v="0"/>
    <s v="-"/>
    <s v="No"/>
    <n v="0"/>
    <n v="0"/>
    <n v="1"/>
    <n v="4"/>
    <n v="0"/>
    <n v="1"/>
    <n v="0"/>
    <n v="0"/>
  </r>
  <r>
    <n v="3514"/>
    <s v="Tânia Machado"/>
    <x v="0"/>
    <x v="282"/>
    <x v="0"/>
    <n v="15"/>
    <x v="2"/>
    <s v="Yes"/>
    <n v="1"/>
    <n v="30"/>
    <s v="Yes"/>
    <n v="1"/>
    <n v="20"/>
    <n v="7"/>
    <n v="58"/>
    <n v="1"/>
    <n v="0"/>
    <n v="0"/>
    <n v="0"/>
  </r>
  <r>
    <n v="3515"/>
    <s v="Ursula Silva"/>
    <x v="2"/>
    <x v="283"/>
    <x v="1"/>
    <n v="10"/>
    <x v="0"/>
    <s v="No"/>
    <n v="0"/>
    <s v="-"/>
    <s v="Yes"/>
    <n v="1"/>
    <n v="20"/>
    <n v="10"/>
    <n v="20"/>
    <n v="0"/>
    <n v="0"/>
    <n v="1"/>
    <n v="0"/>
  </r>
  <r>
    <n v="3516"/>
    <s v="Vanessa Moraes"/>
    <x v="1"/>
    <x v="284"/>
    <x v="0"/>
    <n v="5"/>
    <x v="1"/>
    <s v="No"/>
    <n v="0"/>
    <s v="-"/>
    <s v="No"/>
    <n v="0"/>
    <n v="0"/>
    <n v="0"/>
    <n v="5"/>
    <n v="0"/>
    <n v="1"/>
    <n v="0"/>
    <n v="0"/>
  </r>
  <r>
    <n v="3517"/>
    <s v="William Carvalho"/>
    <x v="0"/>
    <x v="285"/>
    <x v="1"/>
    <n v="15"/>
    <x v="0"/>
    <s v="Yes"/>
    <n v="1"/>
    <n v="30"/>
    <s v="Yes"/>
    <n v="1"/>
    <n v="20"/>
    <n v="20"/>
    <n v="45"/>
    <n v="1"/>
    <n v="0"/>
    <n v="0"/>
    <n v="0"/>
  </r>
  <r>
    <n v="3518"/>
    <s v="Xavier Reis"/>
    <x v="2"/>
    <x v="286"/>
    <x v="0"/>
    <n v="10"/>
    <x v="2"/>
    <s v="No"/>
    <n v="0"/>
    <s v="-"/>
    <s v="Yes"/>
    <n v="1"/>
    <n v="20"/>
    <n v="12"/>
    <n v="18"/>
    <n v="0"/>
    <n v="0"/>
    <n v="1"/>
    <n v="0"/>
  </r>
  <r>
    <n v="3519"/>
    <s v="Yasmin Rocha"/>
    <x v="1"/>
    <x v="287"/>
    <x v="1"/>
    <n v="5"/>
    <x v="0"/>
    <s v="No"/>
    <n v="0"/>
    <s v="-"/>
    <s v="No"/>
    <n v="0"/>
    <n v="0"/>
    <n v="2"/>
    <n v="3"/>
    <n v="0"/>
    <n v="1"/>
    <n v="0"/>
    <n v="0"/>
  </r>
  <r>
    <n v="3520"/>
    <s v="Zacarias Duarte"/>
    <x v="0"/>
    <x v="288"/>
    <x v="0"/>
    <n v="15"/>
    <x v="1"/>
    <s v="Yes"/>
    <n v="1"/>
    <n v="30"/>
    <s v="Yes"/>
    <n v="1"/>
    <n v="20"/>
    <n v="5"/>
    <n v="60"/>
    <n v="1"/>
    <n v="0"/>
    <n v="0"/>
    <n v="0"/>
  </r>
  <r>
    <n v="3521"/>
    <s v="Amanda Freitas"/>
    <x v="2"/>
    <x v="289"/>
    <x v="1"/>
    <n v="10"/>
    <x v="0"/>
    <s v="No"/>
    <n v="0"/>
    <s v="-"/>
    <s v="Yes"/>
    <n v="1"/>
    <n v="20"/>
    <n v="10"/>
    <n v="20"/>
    <n v="0"/>
    <n v="0"/>
    <n v="1"/>
    <n v="0"/>
  </r>
  <r>
    <n v="3522"/>
    <s v="Bruno Almeida"/>
    <x v="1"/>
    <x v="290"/>
    <x v="0"/>
    <n v="5"/>
    <x v="2"/>
    <s v="No"/>
    <n v="0"/>
    <s v="-"/>
    <s v="No"/>
    <n v="0"/>
    <n v="0"/>
    <n v="0"/>
    <n v="5"/>
    <n v="0"/>
    <n v="1"/>
    <n v="0"/>
    <n v="0"/>
  </r>
  <r>
    <n v="3523"/>
    <s v="Carla Siqueira"/>
    <x v="0"/>
    <x v="291"/>
    <x v="1"/>
    <n v="15"/>
    <x v="0"/>
    <s v="Yes"/>
    <n v="1"/>
    <n v="30"/>
    <s v="Yes"/>
    <n v="1"/>
    <n v="20"/>
    <n v="3"/>
    <n v="62"/>
    <n v="1"/>
    <n v="0"/>
    <n v="0"/>
    <n v="0"/>
  </r>
  <r>
    <n v="3524"/>
    <s v="Diogo Ramos"/>
    <x v="2"/>
    <x v="292"/>
    <x v="0"/>
    <n v="10"/>
    <x v="1"/>
    <s v="No"/>
    <n v="0"/>
    <s v="-"/>
    <s v="Yes"/>
    <n v="1"/>
    <n v="20"/>
    <n v="15"/>
    <n v="15"/>
    <n v="0"/>
    <n v="0"/>
    <n v="1"/>
    <n v="0"/>
  </r>
  <r>
    <n v="3525"/>
    <s v="Elisa Magalhães"/>
    <x v="1"/>
    <x v="293"/>
    <x v="1"/>
    <n v="5"/>
    <x v="0"/>
    <s v="No"/>
    <n v="0"/>
    <s v="-"/>
    <s v="No"/>
    <n v="0"/>
    <n v="0"/>
    <n v="1"/>
    <n v="4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6ECAA-7E8F-40D7-AB95-50A04999E67F}" name="tbl_annua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21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numFmtId="2" showAll="0"/>
    <pivotField showAll="0"/>
    <pivotField showAll="0"/>
    <pivotField numFmtId="2" showAll="0"/>
    <pivotField numFmtId="44" showAll="0"/>
    <pivotField numFmtId="44" showAll="0"/>
    <pivotField dataField="1" numFmtId="44" showAll="0"/>
    <pivotField showAll="0"/>
    <pivotField numFmtId="2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4" baseField="0" baseItem="0" numFmtId="44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1D8BD-656C-4C55-9177-141B1AEA3262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78:E79" firstHeaderRow="0" firstDataRow="1" firstDataCol="0"/>
  <pivotFields count="21">
    <pivotField compact="0" outline="0" showAll="0"/>
    <pivotField compact="0" outline="0" showAll="0"/>
    <pivotField compact="0" outline="0" showAll="0"/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/>
    <pivotField compact="0" numFmtId="44" outline="0" showAll="0"/>
    <pivotField compact="0" outline="0" multipleItemSelectionAllowed="1" showAll="0">
      <items count="4">
        <item x="1"/>
        <item x="0"/>
        <item x="2"/>
        <item t="default"/>
      </items>
    </pivotField>
    <pivotField compact="0" outline="0" multipleItemSelectionAllowed="1" showAll="0"/>
    <pivotField compact="0" numFmtId="2" outline="0" showAll="0" sumSubtotal="1"/>
    <pivotField compact="0" outline="0" showAll="0"/>
    <pivotField compact="0" outline="0" multipleItemSelectionAllowed="1" showAll="0"/>
    <pivotField compact="0" numFmtId="2" outline="0" showAll="0" sumSubtotal="1"/>
    <pivotField compact="0" numFmtId="44" outline="0" showAll="0"/>
    <pivotField compact="0" numFmtId="44" outline="0" showAll="0"/>
    <pivotField compact="0" numFmtId="44" outline="0" showAll="0"/>
    <pivotField dataField="1" compact="0" outline="0" showAll="0" sumSubtotal="1"/>
    <pivotField dataField="1" compact="0" numFmtId="2" outline="0" showAll="0"/>
    <pivotField dataField="1" compact="0" numFmtId="1" outline="0" showAll="0"/>
    <pivotField dataField="1" compact="0" numFmtId="1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EA Play Season Pass Only" fld="18" baseField="0" baseItem="0" numFmtId="1"/>
    <dataField name="Soma de Minecraft Season Pass Only" fld="17" baseField="0" baseItem="0" numFmtId="1"/>
    <dataField name="Soma de Purchased Both Season Passes" fld="15" baseField="0" baseItem="0"/>
    <dataField name="Soma de Purchased No Season Passes" fld="16" baseField="0" baseItem="1" numFmtId="1"/>
  </dataFields>
  <chartFormats count="4">
    <chartFormat chart="1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64691-B108-43C6-A570-B61632801A46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21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2" showAll="0"/>
    <pivotField dataField="1" showAll="0"/>
    <pivotField showAll="0"/>
    <pivotField numFmtId="2" showAll="0"/>
    <pivotField numFmtId="44" showAll="0"/>
    <pivotField numFmtId="44" showAll="0"/>
    <pivotField numFmtId="44" showAll="0"/>
    <pivotField showAll="0"/>
    <pivotField numFmtId="2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9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D3EBA-EE9C-4806-83C3-59F136FB51C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59:C62" firstHeaderRow="1" firstDataRow="1" firstDataCol="1"/>
  <pivotFields count="21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/>
    <pivotField numFmtId="2" showAll="0"/>
    <pivotField showAll="0"/>
    <pivotField showAll="0"/>
    <pivotField numFmtId="2" showAll="0"/>
    <pivotField numFmtId="44" showAll="0"/>
    <pivotField numFmtId="44" showAll="0"/>
    <pivotField dataField="1" numFmtId="44" showAll="0"/>
    <pivotField showAll="0"/>
    <pivotField numFmtId="2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4" baseField="0" baseItem="0" numFmtId="44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8DBEF-3D68-427F-8694-4483ECB1FCB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5:C49" firstHeaderRow="1" firstDataRow="1" firstDataCol="1"/>
  <pivotFields count="21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/>
    <pivotField numFmtId="2" showAll="0"/>
    <pivotField showAll="0"/>
    <pivotField showAll="0"/>
    <pivotField numFmtId="2" showAll="0"/>
    <pivotField numFmtId="44" showAll="0"/>
    <pivotField numFmtId="44" showAll="0"/>
    <pivotField dataField="1" numFmtId="44" showAll="0"/>
    <pivotField showAll="0"/>
    <pivotField numFmtId="2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4" baseField="0" baseItem="0" numFmtId="4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DF0B7-F783-4D37-9C8B-A90D193AD73B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90:C103" firstHeaderRow="1" firstDataRow="1" firstDataCol="1"/>
  <pivotFields count="21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/>
    <pivotField numFmtId="2" showAll="0"/>
    <pivotField showAll="0"/>
    <pivotField showAll="0"/>
    <pivotField numFmtId="2" showAll="0"/>
    <pivotField numFmtId="44" showAll="0"/>
    <pivotField numFmtId="44" showAll="0"/>
    <pivotField dataField="1" numFmtId="44" showAll="0"/>
    <pivotField showAll="0"/>
    <pivotField numFmtId="2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13">
    <i>
      <x v="10"/>
    </i>
    <i>
      <x v="3"/>
    </i>
    <i>
      <x v="8"/>
    </i>
    <i>
      <x v="7"/>
    </i>
    <i>
      <x v="11"/>
    </i>
    <i>
      <x v="4"/>
    </i>
    <i>
      <x v="9"/>
    </i>
    <i>
      <x v="5"/>
    </i>
    <i>
      <x v="6"/>
    </i>
    <i>
      <x v="12"/>
    </i>
    <i>
      <x v="2"/>
    </i>
    <i>
      <x v="1"/>
    </i>
    <i t="grand">
      <x/>
    </i>
  </rowItems>
  <colItems count="1">
    <i/>
  </colItems>
  <dataFields count="1">
    <dataField name="Soma de Total Value" fld="14" baseField="0" baseItem="0" numFmtId="44"/>
  </dataFields>
  <formats count="1">
    <format dxfId="0">
      <pivotArea dataOnly="0" labelOnly="1" fieldPosition="0">
        <references count="1">
          <reference field="20" count="11">
            <x v="1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DF037-14E2-46A3-AF03-8BB66222BBA1}" name="tbl_minecraft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21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2" showAll="0"/>
    <pivotField showAll="0"/>
    <pivotField showAll="0"/>
    <pivotField numFmtId="2" showAll="0"/>
    <pivotField dataField="1" numFmtId="44" showAll="0"/>
    <pivotField numFmtId="44" showAll="0"/>
    <pivotField numFmtId="44" showAll="0"/>
    <pivotField showAll="0"/>
    <pivotField numFmtId="2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587D21E-DAB9-42C2-A541-34DE4C10B7F1}" sourceName="Subscription Type">
  <pivotTables>
    <pivotTable tabId="3" name="tbl_easeasonpass_total"/>
    <pivotTable tabId="3" name="tbl_minecraftseasonpass_total"/>
    <pivotTable tabId="3" name="Tabela dinâmica1"/>
    <pivotTable tabId="3" name="Tabela dinâmica4"/>
    <pivotTable tabId="3" name="Tabela dinâmica5"/>
    <pivotTable tabId="3" name="Tabela dinâmica6"/>
  </pivotTables>
  <data>
    <tabular pivotCacheId="15497165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1758B12-4CDC-4E86-8876-F135418E56BC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EB614-E737-4AED-A296-E9F0D83D5CB0}" name="Tabela1" displayName="Tabela1" ref="A1:S296" totalsRowShown="0" dataDxfId="38">
  <autoFilter ref="A1:S296" xr:uid="{34E0E886-4200-4B36-97B3-63DB74FF40A0}"/>
  <tableColumns count="19">
    <tableColumn id="1" xr3:uid="{F493D433-9150-42C7-B3A4-E4459992B686}" name="Subscriber ID" dataDxfId="37" totalsRowDxfId="36"/>
    <tableColumn id="2" xr3:uid="{BEEDF8B9-922F-44B9-B522-69DD39BC2617}" name="Name" dataDxfId="35" totalsRowDxfId="34"/>
    <tableColumn id="3" xr3:uid="{E8A49B6D-05AA-403C-87A6-71D58ADFF50C}" name="Plan" dataDxfId="33" totalsRowDxfId="32"/>
    <tableColumn id="4" xr3:uid="{95F83316-5509-4287-AC2A-881600D9EC0B}" name="Start Date" dataDxfId="31" totalsRowDxfId="30"/>
    <tableColumn id="5" xr3:uid="{01A87790-9002-48B7-9375-823899C95E5B}" name="Auto Renewal" dataDxfId="29" totalsRowDxfId="28"/>
    <tableColumn id="6" xr3:uid="{EB85C29C-46A1-41C5-A6D6-11CEE1EDDB6C}" name="Subscription Price" dataDxfId="27" totalsRowDxfId="26" dataCellStyle="Moeda" totalsRowCellStyle="Moeda"/>
    <tableColumn id="7" xr3:uid="{93A39FF9-4B23-414C-B33C-FE4310DD753F}" name="Subscription Type" dataDxfId="25" totalsRowDxfId="24"/>
    <tableColumn id="8" xr3:uid="{0EF1342D-1448-447B-92C1-7BAC448EFB9B}" name="EA Play Season Pass" dataDxfId="23" totalsRowDxfId="22"/>
    <tableColumn id="17" xr3:uid="{0B0AF162-B9DE-4431-B4F9-40BC7683E104}" name="EA Play Season Pass Count" dataDxfId="21" totalsRowDxfId="20">
      <calculatedColumnFormula>IF(Tabela1[[#This Row],[EA Play Season Pass]]="Yes",1,0)</calculatedColumnFormula>
    </tableColumn>
    <tableColumn id="13" xr3:uid="{9A5E7832-C05C-472A-A207-687D32445BAE}" name="EA Play Season Pass_x000a_Price" dataDxfId="19" totalsRowDxfId="18" dataCellStyle="Moeda" totalsRowCellStyle="Moeda"/>
    <tableColumn id="9" xr3:uid="{3325DD03-E8F9-4B67-B047-4CD5E7EDD85A}" name="Minecraft Season Pass" dataDxfId="17" totalsRowDxfId="16"/>
    <tableColumn id="16" xr3:uid="{7A9304CE-B722-4C6F-9F4B-367252C1B6E5}" name="Minecraft Season Pass Count" dataDxfId="15">
      <calculatedColumnFormula>IF(Tabela1[[#This Row],[Minecraft Season Pass]]="Yes",1,0)</calculatedColumnFormula>
    </tableColumn>
    <tableColumn id="10" xr3:uid="{34F74DD7-8F16-453A-A7B6-E4AD2892FF0D}" name="Minecraft Season Pass Price" dataDxfId="14" totalsRowDxfId="13" dataCellStyle="Moeda" totalsRowCellStyle="Moeda"/>
    <tableColumn id="11" xr3:uid="{5421A82F-2012-4110-965A-9F8DC704FBE2}" name="Coupon Value" dataDxfId="12" totalsRowDxfId="11" dataCellStyle="Moeda" totalsRowCellStyle="Moeda"/>
    <tableColumn id="12" xr3:uid="{34808650-6FC2-4EE6-92FB-F0E05531A9E6}" name="Total Value" dataDxfId="10" totalsRowDxfId="9" dataCellStyle="Moeda" totalsRowCellStyle="Moeda"/>
    <tableColumn id="14" xr3:uid="{356982E3-49FD-409E-8483-9015316BE492}" name="Purchased Both Season Passes" dataDxfId="8" totalsRowDxfId="7" dataCellStyle="Moeda" totalsRowCellStyle="Moeda">
      <calculatedColumnFormula>IF(AND(Tabela1[[#This Row],[EA Play Season Pass]]="yes",Tabela1[[#This Row],[Minecraft Season Pass]]="Yes"), "1", "0")*1</calculatedColumnFormula>
    </tableColumn>
    <tableColumn id="18" xr3:uid="{1A9EF9CE-5A08-4238-811E-5A783C27FB81}" name="Purchased No Season Passes" dataDxfId="6" totalsRowDxfId="5" dataCellStyle="Moeda" totalsRowCellStyle="Moeda">
      <calculatedColumnFormula>IF(AND(Tabela1[[#This Row],[EA Play Season Pass]]="No",Tabela1[[#This Row],[Minecraft Season Pass]]="No"), "1", "0")*1</calculatedColumnFormula>
    </tableColumn>
    <tableColumn id="19" xr3:uid="{EC39C83C-546B-4167-A8EC-A43CEA824F0B}" name="Minecraft Season Pass Only" dataDxfId="4" totalsRowDxfId="3" dataCellStyle="Moeda" totalsRowCellStyle="Moeda">
      <calculatedColumnFormula>IF(AND(Tabela1[[#This Row],[EA Play Season Pass]]="No",Tabela1[[#This Row],[Minecraft Season Pass]]="Yes"), "1", "0")*1</calculatedColumnFormula>
    </tableColumn>
    <tableColumn id="20" xr3:uid="{E225B4DF-99C5-490F-8F05-88C9032E477E}" name="EA Play Season Pass Only" dataDxfId="2" totalsRowDxfId="1" dataCellStyle="Moeda" totalsRowCellStyle="Moeda">
      <calculatedColumnFormula>IF(AND(Tabela1[[#This Row],[EA Play Season Pass]]="Yes",Tabela1[[#This Row],[Minecraft Season Pass]]="No"), "1", "0")*1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714549-7AF5-47F3-890A-8ED0721BEC6C}">
  <we:reference id="wa200005502" version="1.0.0.13" store="pt-BR" storeType="OMEX"/>
  <we:alternateReferences>
    <we:reference id="WA200005502" version="1.0.0.13" store="" storeType="OMEX"/>
  </we:alternateReferences>
  <we:properties>
    <we:property name="docId" value="&quot;r1L5gAH4ZE-AZ0LN4dbc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K107" sqref="K10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18E7-1DF3-43A1-9988-2AFF80752E0F}">
  <sheetPr>
    <tabColor theme="3" tint="0.749992370372631"/>
  </sheetPr>
  <dimension ref="A1:S296"/>
  <sheetViews>
    <sheetView showGridLines="0" topLeftCell="G1" zoomScale="90" zoomScaleNormal="90" workbookViewId="0">
      <selection activeCell="S3" sqref="S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10" width="20.5546875" customWidth="1"/>
    <col min="11" max="11" width="16.6640625" bestFit="1" customWidth="1"/>
    <col min="12" max="12" width="16.6640625" customWidth="1"/>
    <col min="13" max="13" width="21.33203125" bestFit="1" customWidth="1"/>
    <col min="14" max="14" width="12.6640625" bestFit="1" customWidth="1"/>
    <col min="15" max="15" width="10.5546875" bestFit="1" customWidth="1"/>
    <col min="16" max="16" width="18" bestFit="1" customWidth="1"/>
    <col min="17" max="17" width="16.77734375" style="25" bestFit="1" customWidth="1"/>
    <col min="18" max="19" width="15.33203125" bestFit="1" customWidth="1"/>
  </cols>
  <sheetData>
    <row r="1" spans="1:19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343</v>
      </c>
      <c r="J1" s="9" t="s">
        <v>310</v>
      </c>
      <c r="K1" s="9" t="s">
        <v>30</v>
      </c>
      <c r="L1" s="9" t="s">
        <v>342</v>
      </c>
      <c r="M1" s="9" t="s">
        <v>31</v>
      </c>
      <c r="N1" s="9" t="s">
        <v>32</v>
      </c>
      <c r="O1" s="9" t="s">
        <v>33</v>
      </c>
      <c r="P1" s="9" t="s">
        <v>344</v>
      </c>
      <c r="Q1" s="9" t="s">
        <v>345</v>
      </c>
      <c r="R1" s="9" t="s">
        <v>360</v>
      </c>
      <c r="S1" s="9" t="s">
        <v>361</v>
      </c>
    </row>
    <row r="2" spans="1:19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24">
        <f>IF(Tabela1[[#This Row],[EA Play Season Pass]]="Yes",1,0)</f>
        <v>1</v>
      </c>
      <c r="J2" s="11">
        <v>30</v>
      </c>
      <c r="K2" s="8" t="s">
        <v>19</v>
      </c>
      <c r="L2" s="24">
        <f>IF(Tabela1[[#This Row],[Minecraft Season Pass]]="Yes",1,0)</f>
        <v>1</v>
      </c>
      <c r="M2" s="11">
        <v>20</v>
      </c>
      <c r="N2" s="11">
        <v>5</v>
      </c>
      <c r="O2" s="11">
        <v>60</v>
      </c>
      <c r="P2" s="23">
        <f>IF(AND(Tabela1[[#This Row],[EA Play Season Pass]]="yes",Tabela1[[#This Row],[Minecraft Season Pass]]="Yes"), "1", "0")*1</f>
        <v>1</v>
      </c>
      <c r="Q2" s="23">
        <f>IF(AND(Tabela1[[#This Row],[EA Play Season Pass]]="No",Tabela1[[#This Row],[Minecraft Season Pass]]="No"), "1", "0")*1</f>
        <v>0</v>
      </c>
      <c r="R2" s="28">
        <f>IF(AND(Tabela1[[#This Row],[EA Play Season Pass]]="No",Tabela1[[#This Row],[Minecraft Season Pass]]="Yes"), "1", "0")*1</f>
        <v>0</v>
      </c>
      <c r="S2" s="28">
        <f>IF(AND(Tabela1[[#This Row],[EA Play Season Pass]]="Yes",Tabela1[[#This Row],[Minecraft Season Pass]]="No"), "1", "0")*1</f>
        <v>0</v>
      </c>
    </row>
    <row r="3" spans="1:19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24">
        <f>IF(Tabela1[[#This Row],[EA Play Season Pass]]="Yes",1,0)</f>
        <v>0</v>
      </c>
      <c r="J3" s="11" t="s">
        <v>311</v>
      </c>
      <c r="K3" s="8" t="s">
        <v>23</v>
      </c>
      <c r="L3" s="24">
        <f>IF(Tabela1[[#This Row],[Minecraft Season Pass]]="Yes",1,0)</f>
        <v>0</v>
      </c>
      <c r="M3" s="11">
        <v>0</v>
      </c>
      <c r="N3" s="11">
        <v>0</v>
      </c>
      <c r="O3" s="11">
        <v>5</v>
      </c>
      <c r="P3" s="23">
        <f>IF(AND(Tabela1[[#This Row],[EA Play Season Pass]]="yes",Tabela1[[#This Row],[Minecraft Season Pass]]="Yes"), "1", "0")*1</f>
        <v>0</v>
      </c>
      <c r="Q3" s="23">
        <f>IF(AND(Tabela1[[#This Row],[EA Play Season Pass]]="No",Tabela1[[#This Row],[Minecraft Season Pass]]="No"), "1", "0")*1</f>
        <v>1</v>
      </c>
      <c r="R3" s="28">
        <f>IF(AND(Tabela1[[#This Row],[EA Play Season Pass]]="No",Tabela1[[#This Row],[Minecraft Season Pass]]="Yes"), "1", "0")*1</f>
        <v>0</v>
      </c>
      <c r="S3" s="28">
        <f>IF(AND(Tabela1[[#This Row],[EA Play Season Pass]]="Yes",Tabela1[[#This Row],[Minecraft Season Pass]]="No"), "1", "0")*1</f>
        <v>0</v>
      </c>
    </row>
    <row r="4" spans="1:19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24">
        <f>IF(Tabela1[[#This Row],[EA Play Season Pass]]="Yes",1,0)</f>
        <v>0</v>
      </c>
      <c r="J4" s="11" t="s">
        <v>311</v>
      </c>
      <c r="K4" s="8" t="s">
        <v>19</v>
      </c>
      <c r="L4" s="24">
        <f>IF(Tabela1[[#This Row],[Minecraft Season Pass]]="Yes",1,0)</f>
        <v>1</v>
      </c>
      <c r="M4" s="11">
        <v>20</v>
      </c>
      <c r="N4" s="11">
        <v>10</v>
      </c>
      <c r="O4" s="11">
        <v>20</v>
      </c>
      <c r="P4" s="23">
        <f>IF(AND(Tabela1[[#This Row],[EA Play Season Pass]]="yes",Tabela1[[#This Row],[Minecraft Season Pass]]="Yes"), "1", "0")*1</f>
        <v>0</v>
      </c>
      <c r="Q4" s="23">
        <f>IF(AND(Tabela1[[#This Row],[EA Play Season Pass]]="No",Tabela1[[#This Row],[Minecraft Season Pass]]="No"), "1", "0")*1</f>
        <v>0</v>
      </c>
      <c r="R4" s="28">
        <f>IF(AND(Tabela1[[#This Row],[EA Play Season Pass]]="No",Tabela1[[#This Row],[Minecraft Season Pass]]="Yes"), "1", "0")*1</f>
        <v>1</v>
      </c>
      <c r="S4" s="28">
        <f>IF(AND(Tabela1[[#This Row],[EA Play Season Pass]]="Yes",Tabela1[[#This Row],[Minecraft Season Pass]]="No"), "1", "0")*1</f>
        <v>0</v>
      </c>
    </row>
    <row r="5" spans="1:19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24">
        <f>IF(Tabela1[[#This Row],[EA Play Season Pass]]="Yes",1,0)</f>
        <v>1</v>
      </c>
      <c r="J5" s="11">
        <v>30</v>
      </c>
      <c r="K5" s="8" t="s">
        <v>19</v>
      </c>
      <c r="L5" s="24">
        <f>IF(Tabela1[[#This Row],[Minecraft Season Pass]]="Yes",1,0)</f>
        <v>1</v>
      </c>
      <c r="M5" s="11">
        <v>20</v>
      </c>
      <c r="N5" s="11">
        <v>3</v>
      </c>
      <c r="O5" s="11">
        <v>62</v>
      </c>
      <c r="P5" s="23">
        <f>IF(AND(Tabela1[[#This Row],[EA Play Season Pass]]="yes",Tabela1[[#This Row],[Minecraft Season Pass]]="Yes"), "1", "0")*1</f>
        <v>1</v>
      </c>
      <c r="Q5" s="23">
        <f>IF(AND(Tabela1[[#This Row],[EA Play Season Pass]]="No",Tabela1[[#This Row],[Minecraft Season Pass]]="No"), "1", "0")*1</f>
        <v>0</v>
      </c>
      <c r="R5" s="28">
        <f>IF(AND(Tabela1[[#This Row],[EA Play Season Pass]]="No",Tabela1[[#This Row],[Minecraft Season Pass]]="Yes"), "1", "0")*1</f>
        <v>0</v>
      </c>
      <c r="S5" s="28">
        <f>IF(AND(Tabela1[[#This Row],[EA Play Season Pass]]="Yes",Tabela1[[#This Row],[Minecraft Season Pass]]="No"), "1", "0")*1</f>
        <v>0</v>
      </c>
    </row>
    <row r="6" spans="1:19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24">
        <f>IF(Tabela1[[#This Row],[EA Play Season Pass]]="Yes",1,0)</f>
        <v>0</v>
      </c>
      <c r="J6" s="11" t="s">
        <v>311</v>
      </c>
      <c r="K6" s="8" t="s">
        <v>23</v>
      </c>
      <c r="L6" s="24">
        <f>IF(Tabela1[[#This Row],[Minecraft Season Pass]]="Yes",1,0)</f>
        <v>0</v>
      </c>
      <c r="M6" s="11">
        <v>0</v>
      </c>
      <c r="N6" s="11">
        <v>1</v>
      </c>
      <c r="O6" s="11">
        <v>4</v>
      </c>
      <c r="P6" s="23">
        <f>IF(AND(Tabela1[[#This Row],[EA Play Season Pass]]="yes",Tabela1[[#This Row],[Minecraft Season Pass]]="Yes"), "1", "0")*1</f>
        <v>0</v>
      </c>
      <c r="Q6" s="23">
        <f>IF(AND(Tabela1[[#This Row],[EA Play Season Pass]]="No",Tabela1[[#This Row],[Minecraft Season Pass]]="No"), "1", "0")*1</f>
        <v>1</v>
      </c>
      <c r="R6" s="28">
        <f>IF(AND(Tabela1[[#This Row],[EA Play Season Pass]]="No",Tabela1[[#This Row],[Minecraft Season Pass]]="Yes"), "1", "0")*1</f>
        <v>0</v>
      </c>
      <c r="S6" s="28">
        <f>IF(AND(Tabela1[[#This Row],[EA Play Season Pass]]="Yes",Tabela1[[#This Row],[Minecraft Season Pass]]="No"), "1", "0")*1</f>
        <v>0</v>
      </c>
    </row>
    <row r="7" spans="1:19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24">
        <f>IF(Tabela1[[#This Row],[EA Play Season Pass]]="Yes",1,0)</f>
        <v>0</v>
      </c>
      <c r="J7" s="11" t="s">
        <v>311</v>
      </c>
      <c r="K7" s="8" t="s">
        <v>19</v>
      </c>
      <c r="L7" s="24">
        <f>IF(Tabela1[[#This Row],[Minecraft Season Pass]]="Yes",1,0)</f>
        <v>1</v>
      </c>
      <c r="M7" s="11">
        <v>20</v>
      </c>
      <c r="N7" s="11">
        <v>2</v>
      </c>
      <c r="O7" s="11">
        <v>28</v>
      </c>
      <c r="P7" s="23">
        <f>IF(AND(Tabela1[[#This Row],[EA Play Season Pass]]="yes",Tabela1[[#This Row],[Minecraft Season Pass]]="Yes"), "1", "0")*1</f>
        <v>0</v>
      </c>
      <c r="Q7" s="23">
        <f>IF(AND(Tabela1[[#This Row],[EA Play Season Pass]]="No",Tabela1[[#This Row],[Minecraft Season Pass]]="No"), "1", "0")*1</f>
        <v>0</v>
      </c>
      <c r="R7" s="28">
        <f>IF(AND(Tabela1[[#This Row],[EA Play Season Pass]]="No",Tabela1[[#This Row],[Minecraft Season Pass]]="Yes"), "1", "0")*1</f>
        <v>1</v>
      </c>
      <c r="S7" s="28">
        <f>IF(AND(Tabela1[[#This Row],[EA Play Season Pass]]="Yes",Tabela1[[#This Row],[Minecraft Season Pass]]="No"), "1", "0")*1</f>
        <v>0</v>
      </c>
    </row>
    <row r="8" spans="1:19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24">
        <f>IF(Tabela1[[#This Row],[EA Play Season Pass]]="Yes",1,0)</f>
        <v>1</v>
      </c>
      <c r="J8" s="11">
        <v>30</v>
      </c>
      <c r="K8" s="8" t="s">
        <v>19</v>
      </c>
      <c r="L8" s="24">
        <f>IF(Tabela1[[#This Row],[Minecraft Season Pass]]="Yes",1,0)</f>
        <v>1</v>
      </c>
      <c r="M8" s="11">
        <v>20</v>
      </c>
      <c r="N8" s="11">
        <v>10</v>
      </c>
      <c r="O8" s="11">
        <v>55</v>
      </c>
      <c r="P8" s="23">
        <f>IF(AND(Tabela1[[#This Row],[EA Play Season Pass]]="yes",Tabela1[[#This Row],[Minecraft Season Pass]]="Yes"), "1", "0")*1</f>
        <v>1</v>
      </c>
      <c r="Q8" s="23">
        <f>IF(AND(Tabela1[[#This Row],[EA Play Season Pass]]="No",Tabela1[[#This Row],[Minecraft Season Pass]]="No"), "1", "0")*1</f>
        <v>0</v>
      </c>
      <c r="R8" s="28">
        <f>IF(AND(Tabela1[[#This Row],[EA Play Season Pass]]="No",Tabela1[[#This Row],[Minecraft Season Pass]]="Yes"), "1", "0")*1</f>
        <v>0</v>
      </c>
      <c r="S8" s="28">
        <f>IF(AND(Tabela1[[#This Row],[EA Play Season Pass]]="Yes",Tabela1[[#This Row],[Minecraft Season Pass]]="No"), "1", "0")*1</f>
        <v>0</v>
      </c>
    </row>
    <row r="9" spans="1:19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24">
        <f>IF(Tabela1[[#This Row],[EA Play Season Pass]]="Yes",1,0)</f>
        <v>0</v>
      </c>
      <c r="J9" s="11" t="s">
        <v>311</v>
      </c>
      <c r="K9" s="8" t="s">
        <v>23</v>
      </c>
      <c r="L9" s="24">
        <f>IF(Tabela1[[#This Row],[Minecraft Season Pass]]="Yes",1,0)</f>
        <v>0</v>
      </c>
      <c r="M9" s="11">
        <v>0</v>
      </c>
      <c r="N9" s="11">
        <v>0</v>
      </c>
      <c r="O9" s="11">
        <v>5</v>
      </c>
      <c r="P9" s="23">
        <f>IF(AND(Tabela1[[#This Row],[EA Play Season Pass]]="yes",Tabela1[[#This Row],[Minecraft Season Pass]]="Yes"), "1", "0")*1</f>
        <v>0</v>
      </c>
      <c r="Q9" s="23">
        <f>IF(AND(Tabela1[[#This Row],[EA Play Season Pass]]="No",Tabela1[[#This Row],[Minecraft Season Pass]]="No"), "1", "0")*1</f>
        <v>1</v>
      </c>
      <c r="R9" s="28">
        <f>IF(AND(Tabela1[[#This Row],[EA Play Season Pass]]="No",Tabela1[[#This Row],[Minecraft Season Pass]]="Yes"), "1", "0")*1</f>
        <v>0</v>
      </c>
      <c r="S9" s="28">
        <f>IF(AND(Tabela1[[#This Row],[EA Play Season Pass]]="Yes",Tabela1[[#This Row],[Minecraft Season Pass]]="No"), "1", "0")*1</f>
        <v>0</v>
      </c>
    </row>
    <row r="10" spans="1:19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24">
        <f>IF(Tabela1[[#This Row],[EA Play Season Pass]]="Yes",1,0)</f>
        <v>1</v>
      </c>
      <c r="J10" s="11">
        <v>30</v>
      </c>
      <c r="K10" s="8" t="s">
        <v>19</v>
      </c>
      <c r="L10" s="24">
        <f>IF(Tabela1[[#This Row],[Minecraft Season Pass]]="Yes",1,0)</f>
        <v>1</v>
      </c>
      <c r="M10" s="11">
        <v>20</v>
      </c>
      <c r="N10" s="11">
        <v>5</v>
      </c>
      <c r="O10" s="11">
        <v>60</v>
      </c>
      <c r="P10" s="23">
        <f>IF(AND(Tabela1[[#This Row],[EA Play Season Pass]]="yes",Tabela1[[#This Row],[Minecraft Season Pass]]="Yes"), "1", "0")*1</f>
        <v>1</v>
      </c>
      <c r="Q10" s="23">
        <f>IF(AND(Tabela1[[#This Row],[EA Play Season Pass]]="No",Tabela1[[#This Row],[Minecraft Season Pass]]="No"), "1", "0")*1</f>
        <v>0</v>
      </c>
      <c r="R10" s="28">
        <f>IF(AND(Tabela1[[#This Row],[EA Play Season Pass]]="No",Tabela1[[#This Row],[Minecraft Season Pass]]="Yes"), "1", "0")*1</f>
        <v>0</v>
      </c>
      <c r="S10" s="28">
        <f>IF(AND(Tabela1[[#This Row],[EA Play Season Pass]]="Yes",Tabela1[[#This Row],[Minecraft Season Pass]]="No"), "1", "0")*1</f>
        <v>0</v>
      </c>
    </row>
    <row r="11" spans="1:19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24">
        <f>IF(Tabela1[[#This Row],[EA Play Season Pass]]="Yes",1,0)</f>
        <v>0</v>
      </c>
      <c r="J11" s="11" t="s">
        <v>311</v>
      </c>
      <c r="K11" s="8" t="s">
        <v>19</v>
      </c>
      <c r="L11" s="24">
        <f>IF(Tabela1[[#This Row],[Minecraft Season Pass]]="Yes",1,0)</f>
        <v>1</v>
      </c>
      <c r="M11" s="11">
        <v>20</v>
      </c>
      <c r="N11" s="11">
        <v>15</v>
      </c>
      <c r="O11" s="11">
        <v>15</v>
      </c>
      <c r="P11" s="23">
        <f>IF(AND(Tabela1[[#This Row],[EA Play Season Pass]]="yes",Tabela1[[#This Row],[Minecraft Season Pass]]="Yes"), "1", "0")*1</f>
        <v>0</v>
      </c>
      <c r="Q11" s="23">
        <f>IF(AND(Tabela1[[#This Row],[EA Play Season Pass]]="No",Tabela1[[#This Row],[Minecraft Season Pass]]="No"), "1", "0")*1</f>
        <v>0</v>
      </c>
      <c r="R11" s="28">
        <f>IF(AND(Tabela1[[#This Row],[EA Play Season Pass]]="No",Tabela1[[#This Row],[Minecraft Season Pass]]="Yes"), "1", "0")*1</f>
        <v>1</v>
      </c>
      <c r="S11" s="28">
        <f>IF(AND(Tabela1[[#This Row],[EA Play Season Pass]]="Yes",Tabela1[[#This Row],[Minecraft Season Pass]]="No"), "1", "0")*1</f>
        <v>0</v>
      </c>
    </row>
    <row r="12" spans="1:19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24">
        <f>IF(Tabela1[[#This Row],[EA Play Season Pass]]="Yes",1,0)</f>
        <v>0</v>
      </c>
      <c r="J12" s="11" t="s">
        <v>311</v>
      </c>
      <c r="K12" s="8" t="s">
        <v>23</v>
      </c>
      <c r="L12" s="24">
        <f>IF(Tabela1[[#This Row],[Minecraft Season Pass]]="Yes",1,0)</f>
        <v>0</v>
      </c>
      <c r="M12" s="11">
        <v>0</v>
      </c>
      <c r="N12" s="11">
        <v>1</v>
      </c>
      <c r="O12" s="11">
        <v>4</v>
      </c>
      <c r="P12" s="23">
        <f>IF(AND(Tabela1[[#This Row],[EA Play Season Pass]]="yes",Tabela1[[#This Row],[Minecraft Season Pass]]="Yes"), "1", "0")*1</f>
        <v>0</v>
      </c>
      <c r="Q12" s="23">
        <f>IF(AND(Tabela1[[#This Row],[EA Play Season Pass]]="No",Tabela1[[#This Row],[Minecraft Season Pass]]="No"), "1", "0")*1</f>
        <v>1</v>
      </c>
      <c r="R12" s="28">
        <f>IF(AND(Tabela1[[#This Row],[EA Play Season Pass]]="No",Tabela1[[#This Row],[Minecraft Season Pass]]="Yes"), "1", "0")*1</f>
        <v>0</v>
      </c>
      <c r="S12" s="28">
        <f>IF(AND(Tabela1[[#This Row],[EA Play Season Pass]]="Yes",Tabela1[[#This Row],[Minecraft Season Pass]]="No"), "1", "0")*1</f>
        <v>0</v>
      </c>
    </row>
    <row r="13" spans="1:19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24">
        <f>IF(Tabela1[[#This Row],[EA Play Season Pass]]="Yes",1,0)</f>
        <v>1</v>
      </c>
      <c r="J13" s="11">
        <v>30</v>
      </c>
      <c r="K13" s="8" t="s">
        <v>19</v>
      </c>
      <c r="L13" s="24">
        <f>IF(Tabela1[[#This Row],[Minecraft Season Pass]]="Yes",1,0)</f>
        <v>1</v>
      </c>
      <c r="M13" s="11">
        <v>20</v>
      </c>
      <c r="N13" s="11">
        <v>20</v>
      </c>
      <c r="O13" s="11">
        <v>45</v>
      </c>
      <c r="P13" s="23">
        <f>IF(AND(Tabela1[[#This Row],[EA Play Season Pass]]="yes",Tabela1[[#This Row],[Minecraft Season Pass]]="Yes"), "1", "0")*1</f>
        <v>1</v>
      </c>
      <c r="Q13" s="23">
        <f>IF(AND(Tabela1[[#This Row],[EA Play Season Pass]]="No",Tabela1[[#This Row],[Minecraft Season Pass]]="No"), "1", "0")*1</f>
        <v>0</v>
      </c>
      <c r="R13" s="28">
        <f>IF(AND(Tabela1[[#This Row],[EA Play Season Pass]]="No",Tabela1[[#This Row],[Minecraft Season Pass]]="Yes"), "1", "0")*1</f>
        <v>0</v>
      </c>
      <c r="S13" s="28">
        <f>IF(AND(Tabela1[[#This Row],[EA Play Season Pass]]="Yes",Tabela1[[#This Row],[Minecraft Season Pass]]="No"), "1", "0")*1</f>
        <v>0</v>
      </c>
    </row>
    <row r="14" spans="1:19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24">
        <f>IF(Tabela1[[#This Row],[EA Play Season Pass]]="Yes",1,0)</f>
        <v>0</v>
      </c>
      <c r="J14" s="11" t="s">
        <v>311</v>
      </c>
      <c r="K14" s="8" t="s">
        <v>19</v>
      </c>
      <c r="L14" s="24">
        <f>IF(Tabela1[[#This Row],[Minecraft Season Pass]]="Yes",1,0)</f>
        <v>1</v>
      </c>
      <c r="M14" s="11">
        <v>20</v>
      </c>
      <c r="N14" s="11">
        <v>10</v>
      </c>
      <c r="O14" s="11">
        <v>20</v>
      </c>
      <c r="P14" s="23">
        <f>IF(AND(Tabela1[[#This Row],[EA Play Season Pass]]="yes",Tabela1[[#This Row],[Minecraft Season Pass]]="Yes"), "1", "0")*1</f>
        <v>0</v>
      </c>
      <c r="Q14" s="23">
        <f>IF(AND(Tabela1[[#This Row],[EA Play Season Pass]]="No",Tabela1[[#This Row],[Minecraft Season Pass]]="No"), "1", "0")*1</f>
        <v>0</v>
      </c>
      <c r="R14" s="28">
        <f>IF(AND(Tabela1[[#This Row],[EA Play Season Pass]]="No",Tabela1[[#This Row],[Minecraft Season Pass]]="Yes"), "1", "0")*1</f>
        <v>1</v>
      </c>
      <c r="S14" s="28">
        <f>IF(AND(Tabela1[[#This Row],[EA Play Season Pass]]="Yes",Tabela1[[#This Row],[Minecraft Season Pass]]="No"), "1", "0")*1</f>
        <v>0</v>
      </c>
    </row>
    <row r="15" spans="1:19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24">
        <f>IF(Tabela1[[#This Row],[EA Play Season Pass]]="Yes",1,0)</f>
        <v>0</v>
      </c>
      <c r="J15" s="11" t="s">
        <v>311</v>
      </c>
      <c r="K15" s="8" t="s">
        <v>23</v>
      </c>
      <c r="L15" s="24">
        <f>IF(Tabela1[[#This Row],[Minecraft Season Pass]]="Yes",1,0)</f>
        <v>0</v>
      </c>
      <c r="M15" s="11">
        <v>0</v>
      </c>
      <c r="N15" s="11">
        <v>0</v>
      </c>
      <c r="O15" s="11">
        <v>5</v>
      </c>
      <c r="P15" s="23">
        <f>IF(AND(Tabela1[[#This Row],[EA Play Season Pass]]="yes",Tabela1[[#This Row],[Minecraft Season Pass]]="Yes"), "1", "0")*1</f>
        <v>0</v>
      </c>
      <c r="Q15" s="23">
        <f>IF(AND(Tabela1[[#This Row],[EA Play Season Pass]]="No",Tabela1[[#This Row],[Minecraft Season Pass]]="No"), "1", "0")*1</f>
        <v>1</v>
      </c>
      <c r="R15" s="28">
        <f>IF(AND(Tabela1[[#This Row],[EA Play Season Pass]]="No",Tabela1[[#This Row],[Minecraft Season Pass]]="Yes"), "1", "0")*1</f>
        <v>0</v>
      </c>
      <c r="S15" s="28">
        <f>IF(AND(Tabela1[[#This Row],[EA Play Season Pass]]="Yes",Tabela1[[#This Row],[Minecraft Season Pass]]="No"), "1", "0")*1</f>
        <v>0</v>
      </c>
    </row>
    <row r="16" spans="1:19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24">
        <f>IF(Tabela1[[#This Row],[EA Play Season Pass]]="Yes",1,0)</f>
        <v>1</v>
      </c>
      <c r="J16" s="11">
        <v>30</v>
      </c>
      <c r="K16" s="8" t="s">
        <v>19</v>
      </c>
      <c r="L16" s="24">
        <f>IF(Tabela1[[#This Row],[Minecraft Season Pass]]="Yes",1,0)</f>
        <v>1</v>
      </c>
      <c r="M16" s="11">
        <v>20</v>
      </c>
      <c r="N16" s="11">
        <v>8</v>
      </c>
      <c r="O16" s="11">
        <v>57</v>
      </c>
      <c r="P16" s="23">
        <f>IF(AND(Tabela1[[#This Row],[EA Play Season Pass]]="yes",Tabela1[[#This Row],[Minecraft Season Pass]]="Yes"), "1", "0")*1</f>
        <v>1</v>
      </c>
      <c r="Q16" s="23">
        <f>IF(AND(Tabela1[[#This Row],[EA Play Season Pass]]="No",Tabela1[[#This Row],[Minecraft Season Pass]]="No"), "1", "0")*1</f>
        <v>0</v>
      </c>
      <c r="R16" s="28">
        <f>IF(AND(Tabela1[[#This Row],[EA Play Season Pass]]="No",Tabela1[[#This Row],[Minecraft Season Pass]]="Yes"), "1", "0")*1</f>
        <v>0</v>
      </c>
      <c r="S16" s="28">
        <f>IF(AND(Tabela1[[#This Row],[EA Play Season Pass]]="Yes",Tabela1[[#This Row],[Minecraft Season Pass]]="No"), "1", "0")*1</f>
        <v>0</v>
      </c>
    </row>
    <row r="17" spans="1:19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24">
        <f>IF(Tabela1[[#This Row],[EA Play Season Pass]]="Yes",1,0)</f>
        <v>0</v>
      </c>
      <c r="J17" s="11" t="s">
        <v>311</v>
      </c>
      <c r="K17" s="8" t="s">
        <v>19</v>
      </c>
      <c r="L17" s="24">
        <f>IF(Tabela1[[#This Row],[Minecraft Season Pass]]="Yes",1,0)</f>
        <v>1</v>
      </c>
      <c r="M17" s="11">
        <v>20</v>
      </c>
      <c r="N17" s="11">
        <v>12</v>
      </c>
      <c r="O17" s="11">
        <v>18</v>
      </c>
      <c r="P17" s="23">
        <f>IF(AND(Tabela1[[#This Row],[EA Play Season Pass]]="yes",Tabela1[[#This Row],[Minecraft Season Pass]]="Yes"), "1", "0")*1</f>
        <v>0</v>
      </c>
      <c r="Q17" s="23">
        <f>IF(AND(Tabela1[[#This Row],[EA Play Season Pass]]="No",Tabela1[[#This Row],[Minecraft Season Pass]]="No"), "1", "0")*1</f>
        <v>0</v>
      </c>
      <c r="R17" s="28">
        <f>IF(AND(Tabela1[[#This Row],[EA Play Season Pass]]="No",Tabela1[[#This Row],[Minecraft Season Pass]]="Yes"), "1", "0")*1</f>
        <v>1</v>
      </c>
      <c r="S17" s="28">
        <f>IF(AND(Tabela1[[#This Row],[EA Play Season Pass]]="Yes",Tabela1[[#This Row],[Minecraft Season Pass]]="No"), "1", "0")*1</f>
        <v>0</v>
      </c>
    </row>
    <row r="18" spans="1:19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24">
        <f>IF(Tabela1[[#This Row],[EA Play Season Pass]]="Yes",1,0)</f>
        <v>0</v>
      </c>
      <c r="J18" s="11" t="s">
        <v>311</v>
      </c>
      <c r="K18" s="8" t="s">
        <v>23</v>
      </c>
      <c r="L18" s="24">
        <f>IF(Tabela1[[#This Row],[Minecraft Season Pass]]="Yes",1,0)</f>
        <v>0</v>
      </c>
      <c r="M18" s="11">
        <v>0</v>
      </c>
      <c r="N18" s="11">
        <v>2</v>
      </c>
      <c r="O18" s="11">
        <v>3</v>
      </c>
      <c r="P18" s="23">
        <f>IF(AND(Tabela1[[#This Row],[EA Play Season Pass]]="yes",Tabela1[[#This Row],[Minecraft Season Pass]]="Yes"), "1", "0")*1</f>
        <v>0</v>
      </c>
      <c r="Q18" s="23">
        <f>IF(AND(Tabela1[[#This Row],[EA Play Season Pass]]="No",Tabela1[[#This Row],[Minecraft Season Pass]]="No"), "1", "0")*1</f>
        <v>1</v>
      </c>
      <c r="R18" s="28">
        <f>IF(AND(Tabela1[[#This Row],[EA Play Season Pass]]="No",Tabela1[[#This Row],[Minecraft Season Pass]]="Yes"), "1", "0")*1</f>
        <v>0</v>
      </c>
      <c r="S18" s="28">
        <f>IF(AND(Tabela1[[#This Row],[EA Play Season Pass]]="Yes",Tabela1[[#This Row],[Minecraft Season Pass]]="No"), "1", "0")*1</f>
        <v>0</v>
      </c>
    </row>
    <row r="19" spans="1:19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24">
        <f>IF(Tabela1[[#This Row],[EA Play Season Pass]]="Yes",1,0)</f>
        <v>1</v>
      </c>
      <c r="J19" s="11">
        <v>30</v>
      </c>
      <c r="K19" s="8" t="s">
        <v>19</v>
      </c>
      <c r="L19" s="24">
        <f>IF(Tabela1[[#This Row],[Minecraft Season Pass]]="Yes",1,0)</f>
        <v>1</v>
      </c>
      <c r="M19" s="11">
        <v>20</v>
      </c>
      <c r="N19" s="11">
        <v>7</v>
      </c>
      <c r="O19" s="11">
        <v>58</v>
      </c>
      <c r="P19" s="23">
        <f>IF(AND(Tabela1[[#This Row],[EA Play Season Pass]]="yes",Tabela1[[#This Row],[Minecraft Season Pass]]="Yes"), "1", "0")*1</f>
        <v>1</v>
      </c>
      <c r="Q19" s="23">
        <f>IF(AND(Tabela1[[#This Row],[EA Play Season Pass]]="No",Tabela1[[#This Row],[Minecraft Season Pass]]="No"), "1", "0")*1</f>
        <v>0</v>
      </c>
      <c r="R19" s="28">
        <f>IF(AND(Tabela1[[#This Row],[EA Play Season Pass]]="No",Tabela1[[#This Row],[Minecraft Season Pass]]="Yes"), "1", "0")*1</f>
        <v>0</v>
      </c>
      <c r="S19" s="28">
        <f>IF(AND(Tabela1[[#This Row],[EA Play Season Pass]]="Yes",Tabela1[[#This Row],[Minecraft Season Pass]]="No"), "1", "0")*1</f>
        <v>0</v>
      </c>
    </row>
    <row r="20" spans="1:19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24">
        <f>IF(Tabela1[[#This Row],[EA Play Season Pass]]="Yes",1,0)</f>
        <v>0</v>
      </c>
      <c r="J20" s="11" t="s">
        <v>311</v>
      </c>
      <c r="K20" s="8" t="s">
        <v>19</v>
      </c>
      <c r="L20" s="24">
        <f>IF(Tabela1[[#This Row],[Minecraft Season Pass]]="Yes",1,0)</f>
        <v>1</v>
      </c>
      <c r="M20" s="11">
        <v>20</v>
      </c>
      <c r="N20" s="11">
        <v>5</v>
      </c>
      <c r="O20" s="11">
        <v>25</v>
      </c>
      <c r="P20" s="23">
        <f>IF(AND(Tabela1[[#This Row],[EA Play Season Pass]]="yes",Tabela1[[#This Row],[Minecraft Season Pass]]="Yes"), "1", "0")*1</f>
        <v>0</v>
      </c>
      <c r="Q20" s="23">
        <f>IF(AND(Tabela1[[#This Row],[EA Play Season Pass]]="No",Tabela1[[#This Row],[Minecraft Season Pass]]="No"), "1", "0")*1</f>
        <v>0</v>
      </c>
      <c r="R20" s="28">
        <f>IF(AND(Tabela1[[#This Row],[EA Play Season Pass]]="No",Tabela1[[#This Row],[Minecraft Season Pass]]="Yes"), "1", "0")*1</f>
        <v>1</v>
      </c>
      <c r="S20" s="28">
        <f>IF(AND(Tabela1[[#This Row],[EA Play Season Pass]]="Yes",Tabela1[[#This Row],[Minecraft Season Pass]]="No"), "1", "0")*1</f>
        <v>0</v>
      </c>
    </row>
    <row r="21" spans="1:19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24">
        <f>IF(Tabela1[[#This Row],[EA Play Season Pass]]="Yes",1,0)</f>
        <v>0</v>
      </c>
      <c r="J21" s="11" t="s">
        <v>311</v>
      </c>
      <c r="K21" s="8" t="s">
        <v>23</v>
      </c>
      <c r="L21" s="24">
        <f>IF(Tabela1[[#This Row],[Minecraft Season Pass]]="Yes",1,0)</f>
        <v>0</v>
      </c>
      <c r="M21" s="11">
        <v>0</v>
      </c>
      <c r="N21" s="11">
        <v>0</v>
      </c>
      <c r="O21" s="11">
        <v>5</v>
      </c>
      <c r="P21" s="23">
        <f>IF(AND(Tabela1[[#This Row],[EA Play Season Pass]]="yes",Tabela1[[#This Row],[Minecraft Season Pass]]="Yes"), "1", "0")*1</f>
        <v>0</v>
      </c>
      <c r="Q21" s="23">
        <f>IF(AND(Tabela1[[#This Row],[EA Play Season Pass]]="No",Tabela1[[#This Row],[Minecraft Season Pass]]="No"), "1", "0")*1</f>
        <v>1</v>
      </c>
      <c r="R21" s="28">
        <f>IF(AND(Tabela1[[#This Row],[EA Play Season Pass]]="No",Tabela1[[#This Row],[Minecraft Season Pass]]="Yes"), "1", "0")*1</f>
        <v>0</v>
      </c>
      <c r="S21" s="28">
        <f>IF(AND(Tabela1[[#This Row],[EA Play Season Pass]]="Yes",Tabela1[[#This Row],[Minecraft Season Pass]]="No"), "1", "0")*1</f>
        <v>0</v>
      </c>
    </row>
    <row r="22" spans="1:19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24">
        <f>IF(Tabela1[[#This Row],[EA Play Season Pass]]="Yes",1,0)</f>
        <v>1</v>
      </c>
      <c r="J22" s="11">
        <v>30</v>
      </c>
      <c r="K22" s="8" t="s">
        <v>19</v>
      </c>
      <c r="L22" s="24">
        <f>IF(Tabela1[[#This Row],[Minecraft Season Pass]]="Yes",1,0)</f>
        <v>1</v>
      </c>
      <c r="M22" s="11">
        <v>20</v>
      </c>
      <c r="N22" s="11">
        <v>3</v>
      </c>
      <c r="O22" s="11">
        <v>62</v>
      </c>
      <c r="P22" s="23">
        <f>IF(AND(Tabela1[[#This Row],[EA Play Season Pass]]="yes",Tabela1[[#This Row],[Minecraft Season Pass]]="Yes"), "1", "0")*1</f>
        <v>1</v>
      </c>
      <c r="Q22" s="23">
        <f>IF(AND(Tabela1[[#This Row],[EA Play Season Pass]]="No",Tabela1[[#This Row],[Minecraft Season Pass]]="No"), "1", "0")*1</f>
        <v>0</v>
      </c>
      <c r="R22" s="28">
        <f>IF(AND(Tabela1[[#This Row],[EA Play Season Pass]]="No",Tabela1[[#This Row],[Minecraft Season Pass]]="Yes"), "1", "0")*1</f>
        <v>0</v>
      </c>
      <c r="S22" s="28">
        <f>IF(AND(Tabela1[[#This Row],[EA Play Season Pass]]="Yes",Tabela1[[#This Row],[Minecraft Season Pass]]="No"), "1", "0")*1</f>
        <v>0</v>
      </c>
    </row>
    <row r="23" spans="1:19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24">
        <f>IF(Tabela1[[#This Row],[EA Play Season Pass]]="Yes",1,0)</f>
        <v>0</v>
      </c>
      <c r="J23" s="11" t="s">
        <v>311</v>
      </c>
      <c r="K23" s="8" t="s">
        <v>19</v>
      </c>
      <c r="L23" s="24">
        <f>IF(Tabela1[[#This Row],[Minecraft Season Pass]]="Yes",1,0)</f>
        <v>1</v>
      </c>
      <c r="M23" s="11">
        <v>20</v>
      </c>
      <c r="N23" s="11">
        <v>15</v>
      </c>
      <c r="O23" s="11">
        <v>15</v>
      </c>
      <c r="P23" s="23">
        <f>IF(AND(Tabela1[[#This Row],[EA Play Season Pass]]="yes",Tabela1[[#This Row],[Minecraft Season Pass]]="Yes"), "1", "0")*1</f>
        <v>0</v>
      </c>
      <c r="Q23" s="23">
        <f>IF(AND(Tabela1[[#This Row],[EA Play Season Pass]]="No",Tabela1[[#This Row],[Minecraft Season Pass]]="No"), "1", "0")*1</f>
        <v>0</v>
      </c>
      <c r="R23" s="28">
        <f>IF(AND(Tabela1[[#This Row],[EA Play Season Pass]]="No",Tabela1[[#This Row],[Minecraft Season Pass]]="Yes"), "1", "0")*1</f>
        <v>1</v>
      </c>
      <c r="S23" s="28">
        <f>IF(AND(Tabela1[[#This Row],[EA Play Season Pass]]="Yes",Tabela1[[#This Row],[Minecraft Season Pass]]="No"), "1", "0")*1</f>
        <v>0</v>
      </c>
    </row>
    <row r="24" spans="1:19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24">
        <f>IF(Tabela1[[#This Row],[EA Play Season Pass]]="Yes",1,0)</f>
        <v>0</v>
      </c>
      <c r="J24" s="11" t="s">
        <v>311</v>
      </c>
      <c r="K24" s="8" t="s">
        <v>23</v>
      </c>
      <c r="L24" s="24">
        <f>IF(Tabela1[[#This Row],[Minecraft Season Pass]]="Yes",1,0)</f>
        <v>0</v>
      </c>
      <c r="M24" s="11">
        <v>0</v>
      </c>
      <c r="N24" s="11">
        <v>1</v>
      </c>
      <c r="O24" s="11">
        <v>4</v>
      </c>
      <c r="P24" s="23">
        <f>IF(AND(Tabela1[[#This Row],[EA Play Season Pass]]="yes",Tabela1[[#This Row],[Minecraft Season Pass]]="Yes"), "1", "0")*1</f>
        <v>0</v>
      </c>
      <c r="Q24" s="23">
        <f>IF(AND(Tabela1[[#This Row],[EA Play Season Pass]]="No",Tabela1[[#This Row],[Minecraft Season Pass]]="No"), "1", "0")*1</f>
        <v>1</v>
      </c>
      <c r="R24" s="28">
        <f>IF(AND(Tabela1[[#This Row],[EA Play Season Pass]]="No",Tabela1[[#This Row],[Minecraft Season Pass]]="Yes"), "1", "0")*1</f>
        <v>0</v>
      </c>
      <c r="S24" s="28">
        <f>IF(AND(Tabela1[[#This Row],[EA Play Season Pass]]="Yes",Tabela1[[#This Row],[Minecraft Season Pass]]="No"), "1", "0")*1</f>
        <v>0</v>
      </c>
    </row>
    <row r="25" spans="1:19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24">
        <f>IF(Tabela1[[#This Row],[EA Play Season Pass]]="Yes",1,0)</f>
        <v>1</v>
      </c>
      <c r="J25" s="11">
        <v>30</v>
      </c>
      <c r="K25" s="8" t="s">
        <v>19</v>
      </c>
      <c r="L25" s="24">
        <f>IF(Tabela1[[#This Row],[Minecraft Season Pass]]="Yes",1,0)</f>
        <v>1</v>
      </c>
      <c r="M25" s="11">
        <v>20</v>
      </c>
      <c r="N25" s="11">
        <v>20</v>
      </c>
      <c r="O25" s="11">
        <v>45</v>
      </c>
      <c r="P25" s="23">
        <f>IF(AND(Tabela1[[#This Row],[EA Play Season Pass]]="yes",Tabela1[[#This Row],[Minecraft Season Pass]]="Yes"), "1", "0")*1</f>
        <v>1</v>
      </c>
      <c r="Q25" s="23">
        <f>IF(AND(Tabela1[[#This Row],[EA Play Season Pass]]="No",Tabela1[[#This Row],[Minecraft Season Pass]]="No"), "1", "0")*1</f>
        <v>0</v>
      </c>
      <c r="R25" s="28">
        <f>IF(AND(Tabela1[[#This Row],[EA Play Season Pass]]="No",Tabela1[[#This Row],[Minecraft Season Pass]]="Yes"), "1", "0")*1</f>
        <v>0</v>
      </c>
      <c r="S25" s="28">
        <f>IF(AND(Tabela1[[#This Row],[EA Play Season Pass]]="Yes",Tabela1[[#This Row],[Minecraft Season Pass]]="No"), "1", "0")*1</f>
        <v>0</v>
      </c>
    </row>
    <row r="26" spans="1:19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24">
        <f>IF(Tabela1[[#This Row],[EA Play Season Pass]]="Yes",1,0)</f>
        <v>0</v>
      </c>
      <c r="J26" s="11" t="s">
        <v>311</v>
      </c>
      <c r="K26" s="8" t="s">
        <v>19</v>
      </c>
      <c r="L26" s="24">
        <f>IF(Tabela1[[#This Row],[Minecraft Season Pass]]="Yes",1,0)</f>
        <v>1</v>
      </c>
      <c r="M26" s="11">
        <v>20</v>
      </c>
      <c r="N26" s="11">
        <v>10</v>
      </c>
      <c r="O26" s="11">
        <v>20</v>
      </c>
      <c r="P26" s="23">
        <f>IF(AND(Tabela1[[#This Row],[EA Play Season Pass]]="yes",Tabela1[[#This Row],[Minecraft Season Pass]]="Yes"), "1", "0")*1</f>
        <v>0</v>
      </c>
      <c r="Q26" s="23">
        <f>IF(AND(Tabela1[[#This Row],[EA Play Season Pass]]="No",Tabela1[[#This Row],[Minecraft Season Pass]]="No"), "1", "0")*1</f>
        <v>0</v>
      </c>
      <c r="R26" s="28">
        <f>IF(AND(Tabela1[[#This Row],[EA Play Season Pass]]="No",Tabela1[[#This Row],[Minecraft Season Pass]]="Yes"), "1", "0")*1</f>
        <v>1</v>
      </c>
      <c r="S26" s="28">
        <f>IF(AND(Tabela1[[#This Row],[EA Play Season Pass]]="Yes",Tabela1[[#This Row],[Minecraft Season Pass]]="No"), "1", "0")*1</f>
        <v>0</v>
      </c>
    </row>
    <row r="27" spans="1:19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24">
        <f>IF(Tabela1[[#This Row],[EA Play Season Pass]]="Yes",1,0)</f>
        <v>0</v>
      </c>
      <c r="J27" s="11" t="s">
        <v>311</v>
      </c>
      <c r="K27" s="8" t="s">
        <v>23</v>
      </c>
      <c r="L27" s="24">
        <f>IF(Tabela1[[#This Row],[Minecraft Season Pass]]="Yes",1,0)</f>
        <v>0</v>
      </c>
      <c r="M27" s="11">
        <v>0</v>
      </c>
      <c r="N27" s="11">
        <v>0</v>
      </c>
      <c r="O27" s="11">
        <v>5</v>
      </c>
      <c r="P27" s="23">
        <f>IF(AND(Tabela1[[#This Row],[EA Play Season Pass]]="yes",Tabela1[[#This Row],[Minecraft Season Pass]]="Yes"), "1", "0")*1</f>
        <v>0</v>
      </c>
      <c r="Q27" s="23">
        <f>IF(AND(Tabela1[[#This Row],[EA Play Season Pass]]="No",Tabela1[[#This Row],[Minecraft Season Pass]]="No"), "1", "0")*1</f>
        <v>1</v>
      </c>
      <c r="R27" s="28">
        <f>IF(AND(Tabela1[[#This Row],[EA Play Season Pass]]="No",Tabela1[[#This Row],[Minecraft Season Pass]]="Yes"), "1", "0")*1</f>
        <v>0</v>
      </c>
      <c r="S27" s="28">
        <f>IF(AND(Tabela1[[#This Row],[EA Play Season Pass]]="Yes",Tabela1[[#This Row],[Minecraft Season Pass]]="No"), "1", "0")*1</f>
        <v>0</v>
      </c>
    </row>
    <row r="28" spans="1:19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24">
        <f>IF(Tabela1[[#This Row],[EA Play Season Pass]]="Yes",1,0)</f>
        <v>1</v>
      </c>
      <c r="J28" s="11">
        <v>30</v>
      </c>
      <c r="K28" s="8" t="s">
        <v>19</v>
      </c>
      <c r="L28" s="24">
        <f>IF(Tabela1[[#This Row],[Minecraft Season Pass]]="Yes",1,0)</f>
        <v>1</v>
      </c>
      <c r="M28" s="11">
        <v>20</v>
      </c>
      <c r="N28" s="11">
        <v>5</v>
      </c>
      <c r="O28" s="11">
        <v>60</v>
      </c>
      <c r="P28" s="23">
        <f>IF(AND(Tabela1[[#This Row],[EA Play Season Pass]]="yes",Tabela1[[#This Row],[Minecraft Season Pass]]="Yes"), "1", "0")*1</f>
        <v>1</v>
      </c>
      <c r="Q28" s="23">
        <f>IF(AND(Tabela1[[#This Row],[EA Play Season Pass]]="No",Tabela1[[#This Row],[Minecraft Season Pass]]="No"), "1", "0")*1</f>
        <v>0</v>
      </c>
      <c r="R28" s="28">
        <f>IF(AND(Tabela1[[#This Row],[EA Play Season Pass]]="No",Tabela1[[#This Row],[Minecraft Season Pass]]="Yes"), "1", "0")*1</f>
        <v>0</v>
      </c>
      <c r="S28" s="28">
        <f>IF(AND(Tabela1[[#This Row],[EA Play Season Pass]]="Yes",Tabela1[[#This Row],[Minecraft Season Pass]]="No"), "1", "0")*1</f>
        <v>0</v>
      </c>
    </row>
    <row r="29" spans="1:19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24">
        <f>IF(Tabela1[[#This Row],[EA Play Season Pass]]="Yes",1,0)</f>
        <v>0</v>
      </c>
      <c r="J29" s="11" t="s">
        <v>311</v>
      </c>
      <c r="K29" s="8" t="s">
        <v>19</v>
      </c>
      <c r="L29" s="24">
        <f>IF(Tabela1[[#This Row],[Minecraft Season Pass]]="Yes",1,0)</f>
        <v>1</v>
      </c>
      <c r="M29" s="11">
        <v>20</v>
      </c>
      <c r="N29" s="11">
        <v>15</v>
      </c>
      <c r="O29" s="11">
        <v>15</v>
      </c>
      <c r="P29" s="23">
        <f>IF(AND(Tabela1[[#This Row],[EA Play Season Pass]]="yes",Tabela1[[#This Row],[Minecraft Season Pass]]="Yes"), "1", "0")*1</f>
        <v>0</v>
      </c>
      <c r="Q29" s="23">
        <f>IF(AND(Tabela1[[#This Row],[EA Play Season Pass]]="No",Tabela1[[#This Row],[Minecraft Season Pass]]="No"), "1", "0")*1</f>
        <v>0</v>
      </c>
      <c r="R29" s="28">
        <f>IF(AND(Tabela1[[#This Row],[EA Play Season Pass]]="No",Tabela1[[#This Row],[Minecraft Season Pass]]="Yes"), "1", "0")*1</f>
        <v>1</v>
      </c>
      <c r="S29" s="28">
        <f>IF(AND(Tabela1[[#This Row],[EA Play Season Pass]]="Yes",Tabela1[[#This Row],[Minecraft Season Pass]]="No"), "1", "0")*1</f>
        <v>0</v>
      </c>
    </row>
    <row r="30" spans="1:19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24">
        <f>IF(Tabela1[[#This Row],[EA Play Season Pass]]="Yes",1,0)</f>
        <v>0</v>
      </c>
      <c r="J30" s="11" t="s">
        <v>311</v>
      </c>
      <c r="K30" s="8" t="s">
        <v>23</v>
      </c>
      <c r="L30" s="24">
        <f>IF(Tabela1[[#This Row],[Minecraft Season Pass]]="Yes",1,0)</f>
        <v>0</v>
      </c>
      <c r="M30" s="11">
        <v>0</v>
      </c>
      <c r="N30" s="11">
        <v>1</v>
      </c>
      <c r="O30" s="11">
        <v>4</v>
      </c>
      <c r="P30" s="23">
        <f>IF(AND(Tabela1[[#This Row],[EA Play Season Pass]]="yes",Tabela1[[#This Row],[Minecraft Season Pass]]="Yes"), "1", "0")*1</f>
        <v>0</v>
      </c>
      <c r="Q30" s="23">
        <f>IF(AND(Tabela1[[#This Row],[EA Play Season Pass]]="No",Tabela1[[#This Row],[Minecraft Season Pass]]="No"), "1", "0")*1</f>
        <v>1</v>
      </c>
      <c r="R30" s="28">
        <f>IF(AND(Tabela1[[#This Row],[EA Play Season Pass]]="No",Tabela1[[#This Row],[Minecraft Season Pass]]="Yes"), "1", "0")*1</f>
        <v>0</v>
      </c>
      <c r="S30" s="28">
        <f>IF(AND(Tabela1[[#This Row],[EA Play Season Pass]]="Yes",Tabela1[[#This Row],[Minecraft Season Pass]]="No"), "1", "0")*1</f>
        <v>0</v>
      </c>
    </row>
    <row r="31" spans="1:19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24">
        <f>IF(Tabela1[[#This Row],[EA Play Season Pass]]="Yes",1,0)</f>
        <v>1</v>
      </c>
      <c r="J31" s="11">
        <v>30</v>
      </c>
      <c r="K31" s="8" t="s">
        <v>19</v>
      </c>
      <c r="L31" s="24">
        <f>IF(Tabela1[[#This Row],[Minecraft Season Pass]]="Yes",1,0)</f>
        <v>1</v>
      </c>
      <c r="M31" s="11">
        <v>20</v>
      </c>
      <c r="N31" s="11">
        <v>7</v>
      </c>
      <c r="O31" s="11">
        <v>58</v>
      </c>
      <c r="P31" s="23">
        <f>IF(AND(Tabela1[[#This Row],[EA Play Season Pass]]="yes",Tabela1[[#This Row],[Minecraft Season Pass]]="Yes"), "1", "0")*1</f>
        <v>1</v>
      </c>
      <c r="Q31" s="23">
        <f>IF(AND(Tabela1[[#This Row],[EA Play Season Pass]]="No",Tabela1[[#This Row],[Minecraft Season Pass]]="No"), "1", "0")*1</f>
        <v>0</v>
      </c>
      <c r="R31" s="28">
        <f>IF(AND(Tabela1[[#This Row],[EA Play Season Pass]]="No",Tabela1[[#This Row],[Minecraft Season Pass]]="Yes"), "1", "0")*1</f>
        <v>0</v>
      </c>
      <c r="S31" s="28">
        <f>IF(AND(Tabela1[[#This Row],[EA Play Season Pass]]="Yes",Tabela1[[#This Row],[Minecraft Season Pass]]="No"), "1", "0")*1</f>
        <v>0</v>
      </c>
    </row>
    <row r="32" spans="1:19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24">
        <f>IF(Tabela1[[#This Row],[EA Play Season Pass]]="Yes",1,0)</f>
        <v>0</v>
      </c>
      <c r="J32" s="11" t="s">
        <v>311</v>
      </c>
      <c r="K32" s="8" t="s">
        <v>19</v>
      </c>
      <c r="L32" s="24">
        <f>IF(Tabela1[[#This Row],[Minecraft Season Pass]]="Yes",1,0)</f>
        <v>1</v>
      </c>
      <c r="M32" s="11">
        <v>20</v>
      </c>
      <c r="N32" s="11">
        <v>10</v>
      </c>
      <c r="O32" s="11">
        <v>20</v>
      </c>
      <c r="P32" s="23">
        <f>IF(AND(Tabela1[[#This Row],[EA Play Season Pass]]="yes",Tabela1[[#This Row],[Minecraft Season Pass]]="Yes"), "1", "0")*1</f>
        <v>0</v>
      </c>
      <c r="Q32" s="23">
        <f>IF(AND(Tabela1[[#This Row],[EA Play Season Pass]]="No",Tabela1[[#This Row],[Minecraft Season Pass]]="No"), "1", "0")*1</f>
        <v>0</v>
      </c>
      <c r="R32" s="28">
        <f>IF(AND(Tabela1[[#This Row],[EA Play Season Pass]]="No",Tabela1[[#This Row],[Minecraft Season Pass]]="Yes"), "1", "0")*1</f>
        <v>1</v>
      </c>
      <c r="S32" s="28">
        <f>IF(AND(Tabela1[[#This Row],[EA Play Season Pass]]="Yes",Tabela1[[#This Row],[Minecraft Season Pass]]="No"), "1", "0")*1</f>
        <v>0</v>
      </c>
    </row>
    <row r="33" spans="1:19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24">
        <f>IF(Tabela1[[#This Row],[EA Play Season Pass]]="Yes",1,0)</f>
        <v>0</v>
      </c>
      <c r="J33" s="11" t="s">
        <v>311</v>
      </c>
      <c r="K33" s="8" t="s">
        <v>23</v>
      </c>
      <c r="L33" s="24">
        <f>IF(Tabela1[[#This Row],[Minecraft Season Pass]]="Yes",1,0)</f>
        <v>0</v>
      </c>
      <c r="M33" s="11">
        <v>0</v>
      </c>
      <c r="N33" s="11">
        <v>0</v>
      </c>
      <c r="O33" s="11">
        <v>5</v>
      </c>
      <c r="P33" s="23">
        <f>IF(AND(Tabela1[[#This Row],[EA Play Season Pass]]="yes",Tabela1[[#This Row],[Minecraft Season Pass]]="Yes"), "1", "0")*1</f>
        <v>0</v>
      </c>
      <c r="Q33" s="23">
        <f>IF(AND(Tabela1[[#This Row],[EA Play Season Pass]]="No",Tabela1[[#This Row],[Minecraft Season Pass]]="No"), "1", "0")*1</f>
        <v>1</v>
      </c>
      <c r="R33" s="28">
        <f>IF(AND(Tabela1[[#This Row],[EA Play Season Pass]]="No",Tabela1[[#This Row],[Minecraft Season Pass]]="Yes"), "1", "0")*1</f>
        <v>0</v>
      </c>
      <c r="S33" s="28">
        <f>IF(AND(Tabela1[[#This Row],[EA Play Season Pass]]="Yes",Tabela1[[#This Row],[Minecraft Season Pass]]="No"), "1", "0")*1</f>
        <v>0</v>
      </c>
    </row>
    <row r="34" spans="1:19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24">
        <f>IF(Tabela1[[#This Row],[EA Play Season Pass]]="Yes",1,0)</f>
        <v>1</v>
      </c>
      <c r="J34" s="11">
        <v>30</v>
      </c>
      <c r="K34" s="8" t="s">
        <v>19</v>
      </c>
      <c r="L34" s="24">
        <f>IF(Tabela1[[#This Row],[Minecraft Season Pass]]="Yes",1,0)</f>
        <v>1</v>
      </c>
      <c r="M34" s="11">
        <v>20</v>
      </c>
      <c r="N34" s="11">
        <v>3</v>
      </c>
      <c r="O34" s="11">
        <v>62</v>
      </c>
      <c r="P34" s="23">
        <f>IF(AND(Tabela1[[#This Row],[EA Play Season Pass]]="yes",Tabela1[[#This Row],[Minecraft Season Pass]]="Yes"), "1", "0")*1</f>
        <v>1</v>
      </c>
      <c r="Q34" s="23">
        <f>IF(AND(Tabela1[[#This Row],[EA Play Season Pass]]="No",Tabela1[[#This Row],[Minecraft Season Pass]]="No"), "1", "0")*1</f>
        <v>0</v>
      </c>
      <c r="R34" s="28">
        <f>IF(AND(Tabela1[[#This Row],[EA Play Season Pass]]="No",Tabela1[[#This Row],[Minecraft Season Pass]]="Yes"), "1", "0")*1</f>
        <v>0</v>
      </c>
      <c r="S34" s="28">
        <f>IF(AND(Tabela1[[#This Row],[EA Play Season Pass]]="Yes",Tabela1[[#This Row],[Minecraft Season Pass]]="No"), "1", "0")*1</f>
        <v>0</v>
      </c>
    </row>
    <row r="35" spans="1:19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24">
        <f>IF(Tabela1[[#This Row],[EA Play Season Pass]]="Yes",1,0)</f>
        <v>0</v>
      </c>
      <c r="J35" s="11" t="s">
        <v>311</v>
      </c>
      <c r="K35" s="8" t="s">
        <v>19</v>
      </c>
      <c r="L35" s="24">
        <f>IF(Tabela1[[#This Row],[Minecraft Season Pass]]="Yes",1,0)</f>
        <v>1</v>
      </c>
      <c r="M35" s="11">
        <v>20</v>
      </c>
      <c r="N35" s="11">
        <v>15</v>
      </c>
      <c r="O35" s="11">
        <v>15</v>
      </c>
      <c r="P35" s="23">
        <f>IF(AND(Tabela1[[#This Row],[EA Play Season Pass]]="yes",Tabela1[[#This Row],[Minecraft Season Pass]]="Yes"), "1", "0")*1</f>
        <v>0</v>
      </c>
      <c r="Q35" s="23">
        <f>IF(AND(Tabela1[[#This Row],[EA Play Season Pass]]="No",Tabela1[[#This Row],[Minecraft Season Pass]]="No"), "1", "0")*1</f>
        <v>0</v>
      </c>
      <c r="R35" s="28">
        <f>IF(AND(Tabela1[[#This Row],[EA Play Season Pass]]="No",Tabela1[[#This Row],[Minecraft Season Pass]]="Yes"), "1", "0")*1</f>
        <v>1</v>
      </c>
      <c r="S35" s="28">
        <f>IF(AND(Tabela1[[#This Row],[EA Play Season Pass]]="Yes",Tabela1[[#This Row],[Minecraft Season Pass]]="No"), "1", "0")*1</f>
        <v>0</v>
      </c>
    </row>
    <row r="36" spans="1:19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24">
        <f>IF(Tabela1[[#This Row],[EA Play Season Pass]]="Yes",1,0)</f>
        <v>0</v>
      </c>
      <c r="J36" s="11" t="s">
        <v>311</v>
      </c>
      <c r="K36" s="8" t="s">
        <v>23</v>
      </c>
      <c r="L36" s="24">
        <f>IF(Tabela1[[#This Row],[Minecraft Season Pass]]="Yes",1,0)</f>
        <v>0</v>
      </c>
      <c r="M36" s="11">
        <v>0</v>
      </c>
      <c r="N36" s="11">
        <v>1</v>
      </c>
      <c r="O36" s="11">
        <v>4</v>
      </c>
      <c r="P36" s="23">
        <f>IF(AND(Tabela1[[#This Row],[EA Play Season Pass]]="yes",Tabela1[[#This Row],[Minecraft Season Pass]]="Yes"), "1", "0")*1</f>
        <v>0</v>
      </c>
      <c r="Q36" s="23">
        <f>IF(AND(Tabela1[[#This Row],[EA Play Season Pass]]="No",Tabela1[[#This Row],[Minecraft Season Pass]]="No"), "1", "0")*1</f>
        <v>1</v>
      </c>
      <c r="R36" s="28">
        <f>IF(AND(Tabela1[[#This Row],[EA Play Season Pass]]="No",Tabela1[[#This Row],[Minecraft Season Pass]]="Yes"), "1", "0")*1</f>
        <v>0</v>
      </c>
      <c r="S36" s="28">
        <f>IF(AND(Tabela1[[#This Row],[EA Play Season Pass]]="Yes",Tabela1[[#This Row],[Minecraft Season Pass]]="No"), "1", "0")*1</f>
        <v>0</v>
      </c>
    </row>
    <row r="37" spans="1:19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24">
        <f>IF(Tabela1[[#This Row],[EA Play Season Pass]]="Yes",1,0)</f>
        <v>0</v>
      </c>
      <c r="J37" s="11" t="s">
        <v>311</v>
      </c>
      <c r="K37" s="8" t="s">
        <v>23</v>
      </c>
      <c r="L37" s="24">
        <f>IF(Tabela1[[#This Row],[Minecraft Season Pass]]="Yes",1,0)</f>
        <v>0</v>
      </c>
      <c r="M37" s="11">
        <v>0</v>
      </c>
      <c r="N37" s="11">
        <v>0</v>
      </c>
      <c r="O37" s="11">
        <v>5</v>
      </c>
      <c r="P37" s="23">
        <f>IF(AND(Tabela1[[#This Row],[EA Play Season Pass]]="yes",Tabela1[[#This Row],[Minecraft Season Pass]]="Yes"), "1", "0")*1</f>
        <v>0</v>
      </c>
      <c r="Q37" s="23">
        <f>IF(AND(Tabela1[[#This Row],[EA Play Season Pass]]="No",Tabela1[[#This Row],[Minecraft Season Pass]]="No"), "1", "0")*1</f>
        <v>1</v>
      </c>
      <c r="R37" s="28">
        <f>IF(AND(Tabela1[[#This Row],[EA Play Season Pass]]="No",Tabela1[[#This Row],[Minecraft Season Pass]]="Yes"), "1", "0")*1</f>
        <v>0</v>
      </c>
      <c r="S37" s="28">
        <f>IF(AND(Tabela1[[#This Row],[EA Play Season Pass]]="Yes",Tabela1[[#This Row],[Minecraft Season Pass]]="No"), "1", "0")*1</f>
        <v>0</v>
      </c>
    </row>
    <row r="38" spans="1:19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24">
        <f>IF(Tabela1[[#This Row],[EA Play Season Pass]]="Yes",1,0)</f>
        <v>1</v>
      </c>
      <c r="J38" s="11">
        <v>30</v>
      </c>
      <c r="K38" s="8" t="s">
        <v>19</v>
      </c>
      <c r="L38" s="24">
        <f>IF(Tabela1[[#This Row],[Minecraft Season Pass]]="Yes",1,0)</f>
        <v>1</v>
      </c>
      <c r="M38" s="11">
        <v>20</v>
      </c>
      <c r="N38" s="11">
        <v>7</v>
      </c>
      <c r="O38" s="11">
        <v>58</v>
      </c>
      <c r="P38" s="23">
        <f>IF(AND(Tabela1[[#This Row],[EA Play Season Pass]]="yes",Tabela1[[#This Row],[Minecraft Season Pass]]="Yes"), "1", "0")*1</f>
        <v>1</v>
      </c>
      <c r="Q38" s="23">
        <f>IF(AND(Tabela1[[#This Row],[EA Play Season Pass]]="No",Tabela1[[#This Row],[Minecraft Season Pass]]="No"), "1", "0")*1</f>
        <v>0</v>
      </c>
      <c r="R38" s="28">
        <f>IF(AND(Tabela1[[#This Row],[EA Play Season Pass]]="No",Tabela1[[#This Row],[Minecraft Season Pass]]="Yes"), "1", "0")*1</f>
        <v>0</v>
      </c>
      <c r="S38" s="28">
        <f>IF(AND(Tabela1[[#This Row],[EA Play Season Pass]]="Yes",Tabela1[[#This Row],[Minecraft Season Pass]]="No"), "1", "0")*1</f>
        <v>0</v>
      </c>
    </row>
    <row r="39" spans="1:19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24">
        <f>IF(Tabela1[[#This Row],[EA Play Season Pass]]="Yes",1,0)</f>
        <v>0</v>
      </c>
      <c r="J39" s="11" t="s">
        <v>311</v>
      </c>
      <c r="K39" s="8" t="s">
        <v>19</v>
      </c>
      <c r="L39" s="24">
        <f>IF(Tabela1[[#This Row],[Minecraft Season Pass]]="Yes",1,0)</f>
        <v>1</v>
      </c>
      <c r="M39" s="11">
        <v>20</v>
      </c>
      <c r="N39" s="11">
        <v>10</v>
      </c>
      <c r="O39" s="11">
        <v>20</v>
      </c>
      <c r="P39" s="23">
        <f>IF(AND(Tabela1[[#This Row],[EA Play Season Pass]]="yes",Tabela1[[#This Row],[Minecraft Season Pass]]="Yes"), "1", "0")*1</f>
        <v>0</v>
      </c>
      <c r="Q39" s="23">
        <f>IF(AND(Tabela1[[#This Row],[EA Play Season Pass]]="No",Tabela1[[#This Row],[Minecraft Season Pass]]="No"), "1", "0")*1</f>
        <v>0</v>
      </c>
      <c r="R39" s="28">
        <f>IF(AND(Tabela1[[#This Row],[EA Play Season Pass]]="No",Tabela1[[#This Row],[Minecraft Season Pass]]="Yes"), "1", "0")*1</f>
        <v>1</v>
      </c>
      <c r="S39" s="28">
        <f>IF(AND(Tabela1[[#This Row],[EA Play Season Pass]]="Yes",Tabela1[[#This Row],[Minecraft Season Pass]]="No"), "1", "0")*1</f>
        <v>0</v>
      </c>
    </row>
    <row r="40" spans="1:19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24">
        <f>IF(Tabela1[[#This Row],[EA Play Season Pass]]="Yes",1,0)</f>
        <v>0</v>
      </c>
      <c r="J40" s="11" t="s">
        <v>311</v>
      </c>
      <c r="K40" s="8" t="s">
        <v>23</v>
      </c>
      <c r="L40" s="24">
        <f>IF(Tabela1[[#This Row],[Minecraft Season Pass]]="Yes",1,0)</f>
        <v>0</v>
      </c>
      <c r="M40" s="11">
        <v>0</v>
      </c>
      <c r="N40" s="11">
        <v>1</v>
      </c>
      <c r="O40" s="11">
        <v>4</v>
      </c>
      <c r="P40" s="23">
        <f>IF(AND(Tabela1[[#This Row],[EA Play Season Pass]]="yes",Tabela1[[#This Row],[Minecraft Season Pass]]="Yes"), "1", "0")*1</f>
        <v>0</v>
      </c>
      <c r="Q40" s="23">
        <f>IF(AND(Tabela1[[#This Row],[EA Play Season Pass]]="No",Tabela1[[#This Row],[Minecraft Season Pass]]="No"), "1", "0")*1</f>
        <v>1</v>
      </c>
      <c r="R40" s="28">
        <f>IF(AND(Tabela1[[#This Row],[EA Play Season Pass]]="No",Tabela1[[#This Row],[Minecraft Season Pass]]="Yes"), "1", "0")*1</f>
        <v>0</v>
      </c>
      <c r="S40" s="28">
        <f>IF(AND(Tabela1[[#This Row],[EA Play Season Pass]]="Yes",Tabela1[[#This Row],[Minecraft Season Pass]]="No"), "1", "0")*1</f>
        <v>0</v>
      </c>
    </row>
    <row r="41" spans="1:19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24">
        <f>IF(Tabela1[[#This Row],[EA Play Season Pass]]="Yes",1,0)</f>
        <v>1</v>
      </c>
      <c r="J41" s="11">
        <v>30</v>
      </c>
      <c r="K41" s="8" t="s">
        <v>19</v>
      </c>
      <c r="L41" s="24">
        <f>IF(Tabela1[[#This Row],[Minecraft Season Pass]]="Yes",1,0)</f>
        <v>1</v>
      </c>
      <c r="M41" s="11">
        <v>20</v>
      </c>
      <c r="N41" s="11">
        <v>15</v>
      </c>
      <c r="O41" s="11">
        <v>50</v>
      </c>
      <c r="P41" s="23">
        <f>IF(AND(Tabela1[[#This Row],[EA Play Season Pass]]="yes",Tabela1[[#This Row],[Minecraft Season Pass]]="Yes"), "1", "0")*1</f>
        <v>1</v>
      </c>
      <c r="Q41" s="23">
        <f>IF(AND(Tabela1[[#This Row],[EA Play Season Pass]]="No",Tabela1[[#This Row],[Minecraft Season Pass]]="No"), "1", "0")*1</f>
        <v>0</v>
      </c>
      <c r="R41" s="28">
        <f>IF(AND(Tabela1[[#This Row],[EA Play Season Pass]]="No",Tabela1[[#This Row],[Minecraft Season Pass]]="Yes"), "1", "0")*1</f>
        <v>0</v>
      </c>
      <c r="S41" s="28">
        <f>IF(AND(Tabela1[[#This Row],[EA Play Season Pass]]="Yes",Tabela1[[#This Row],[Minecraft Season Pass]]="No"), "1", "0")*1</f>
        <v>0</v>
      </c>
    </row>
    <row r="42" spans="1:19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24">
        <f>IF(Tabela1[[#This Row],[EA Play Season Pass]]="Yes",1,0)</f>
        <v>0</v>
      </c>
      <c r="J42" s="11" t="s">
        <v>311</v>
      </c>
      <c r="K42" s="8" t="s">
        <v>19</v>
      </c>
      <c r="L42" s="24">
        <f>IF(Tabela1[[#This Row],[Minecraft Season Pass]]="Yes",1,0)</f>
        <v>1</v>
      </c>
      <c r="M42" s="11">
        <v>20</v>
      </c>
      <c r="N42" s="11">
        <v>5</v>
      </c>
      <c r="O42" s="11">
        <v>25</v>
      </c>
      <c r="P42" s="23">
        <f>IF(AND(Tabela1[[#This Row],[EA Play Season Pass]]="yes",Tabela1[[#This Row],[Minecraft Season Pass]]="Yes"), "1", "0")*1</f>
        <v>0</v>
      </c>
      <c r="Q42" s="23">
        <f>IF(AND(Tabela1[[#This Row],[EA Play Season Pass]]="No",Tabela1[[#This Row],[Minecraft Season Pass]]="No"), "1", "0")*1</f>
        <v>0</v>
      </c>
      <c r="R42" s="28">
        <f>IF(AND(Tabela1[[#This Row],[EA Play Season Pass]]="No",Tabela1[[#This Row],[Minecraft Season Pass]]="Yes"), "1", "0")*1</f>
        <v>1</v>
      </c>
      <c r="S42" s="28">
        <f>IF(AND(Tabela1[[#This Row],[EA Play Season Pass]]="Yes",Tabela1[[#This Row],[Minecraft Season Pass]]="No"), "1", "0")*1</f>
        <v>0</v>
      </c>
    </row>
    <row r="43" spans="1:19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24">
        <f>IF(Tabela1[[#This Row],[EA Play Season Pass]]="Yes",1,0)</f>
        <v>0</v>
      </c>
      <c r="J43" s="11" t="s">
        <v>311</v>
      </c>
      <c r="K43" s="8" t="s">
        <v>23</v>
      </c>
      <c r="L43" s="24">
        <f>IF(Tabela1[[#This Row],[Minecraft Season Pass]]="Yes",1,0)</f>
        <v>0</v>
      </c>
      <c r="M43" s="11">
        <v>0</v>
      </c>
      <c r="N43" s="11">
        <v>0</v>
      </c>
      <c r="O43" s="11">
        <v>5</v>
      </c>
      <c r="P43" s="23">
        <f>IF(AND(Tabela1[[#This Row],[EA Play Season Pass]]="yes",Tabela1[[#This Row],[Minecraft Season Pass]]="Yes"), "1", "0")*1</f>
        <v>0</v>
      </c>
      <c r="Q43" s="23">
        <f>IF(AND(Tabela1[[#This Row],[EA Play Season Pass]]="No",Tabela1[[#This Row],[Minecraft Season Pass]]="No"), "1", "0")*1</f>
        <v>1</v>
      </c>
      <c r="R43" s="28">
        <f>IF(AND(Tabela1[[#This Row],[EA Play Season Pass]]="No",Tabela1[[#This Row],[Minecraft Season Pass]]="Yes"), "1", "0")*1</f>
        <v>0</v>
      </c>
      <c r="S43" s="28">
        <f>IF(AND(Tabela1[[#This Row],[EA Play Season Pass]]="Yes",Tabela1[[#This Row],[Minecraft Season Pass]]="No"), "1", "0")*1</f>
        <v>0</v>
      </c>
    </row>
    <row r="44" spans="1:19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24">
        <f>IF(Tabela1[[#This Row],[EA Play Season Pass]]="Yes",1,0)</f>
        <v>1</v>
      </c>
      <c r="J44" s="11">
        <v>30</v>
      </c>
      <c r="K44" s="8" t="s">
        <v>19</v>
      </c>
      <c r="L44" s="24">
        <f>IF(Tabela1[[#This Row],[Minecraft Season Pass]]="Yes",1,0)</f>
        <v>1</v>
      </c>
      <c r="M44" s="11">
        <v>20</v>
      </c>
      <c r="N44" s="11">
        <v>20</v>
      </c>
      <c r="O44" s="11">
        <v>45</v>
      </c>
      <c r="P44" s="23">
        <f>IF(AND(Tabela1[[#This Row],[EA Play Season Pass]]="yes",Tabela1[[#This Row],[Minecraft Season Pass]]="Yes"), "1", "0")*1</f>
        <v>1</v>
      </c>
      <c r="Q44" s="23">
        <f>IF(AND(Tabela1[[#This Row],[EA Play Season Pass]]="No",Tabela1[[#This Row],[Minecraft Season Pass]]="No"), "1", "0")*1</f>
        <v>0</v>
      </c>
      <c r="R44" s="28">
        <f>IF(AND(Tabela1[[#This Row],[EA Play Season Pass]]="No",Tabela1[[#This Row],[Minecraft Season Pass]]="Yes"), "1", "0")*1</f>
        <v>0</v>
      </c>
      <c r="S44" s="28">
        <f>IF(AND(Tabela1[[#This Row],[EA Play Season Pass]]="Yes",Tabela1[[#This Row],[Minecraft Season Pass]]="No"), "1", "0")*1</f>
        <v>0</v>
      </c>
    </row>
    <row r="45" spans="1:19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24">
        <f>IF(Tabela1[[#This Row],[EA Play Season Pass]]="Yes",1,0)</f>
        <v>0</v>
      </c>
      <c r="J45" s="11" t="s">
        <v>311</v>
      </c>
      <c r="K45" s="8" t="s">
        <v>19</v>
      </c>
      <c r="L45" s="24">
        <f>IF(Tabela1[[#This Row],[Minecraft Season Pass]]="Yes",1,0)</f>
        <v>1</v>
      </c>
      <c r="M45" s="11">
        <v>20</v>
      </c>
      <c r="N45" s="11">
        <v>12</v>
      </c>
      <c r="O45" s="11">
        <v>18</v>
      </c>
      <c r="P45" s="23">
        <f>IF(AND(Tabela1[[#This Row],[EA Play Season Pass]]="yes",Tabela1[[#This Row],[Minecraft Season Pass]]="Yes"), "1", "0")*1</f>
        <v>0</v>
      </c>
      <c r="Q45" s="23">
        <f>IF(AND(Tabela1[[#This Row],[EA Play Season Pass]]="No",Tabela1[[#This Row],[Minecraft Season Pass]]="No"), "1", "0")*1</f>
        <v>0</v>
      </c>
      <c r="R45" s="28">
        <f>IF(AND(Tabela1[[#This Row],[EA Play Season Pass]]="No",Tabela1[[#This Row],[Minecraft Season Pass]]="Yes"), "1", "0")*1</f>
        <v>1</v>
      </c>
      <c r="S45" s="28">
        <f>IF(AND(Tabela1[[#This Row],[EA Play Season Pass]]="Yes",Tabela1[[#This Row],[Minecraft Season Pass]]="No"), "1", "0")*1</f>
        <v>0</v>
      </c>
    </row>
    <row r="46" spans="1:19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24">
        <f>IF(Tabela1[[#This Row],[EA Play Season Pass]]="Yes",1,0)</f>
        <v>0</v>
      </c>
      <c r="J46" s="11" t="s">
        <v>311</v>
      </c>
      <c r="K46" s="8" t="s">
        <v>23</v>
      </c>
      <c r="L46" s="24">
        <f>IF(Tabela1[[#This Row],[Minecraft Season Pass]]="Yes",1,0)</f>
        <v>0</v>
      </c>
      <c r="M46" s="11">
        <v>0</v>
      </c>
      <c r="N46" s="11">
        <v>2</v>
      </c>
      <c r="O46" s="11">
        <v>3</v>
      </c>
      <c r="P46" s="23">
        <f>IF(AND(Tabela1[[#This Row],[EA Play Season Pass]]="yes",Tabela1[[#This Row],[Minecraft Season Pass]]="Yes"), "1", "0")*1</f>
        <v>0</v>
      </c>
      <c r="Q46" s="23">
        <f>IF(AND(Tabela1[[#This Row],[EA Play Season Pass]]="No",Tabela1[[#This Row],[Minecraft Season Pass]]="No"), "1", "0")*1</f>
        <v>1</v>
      </c>
      <c r="R46" s="28">
        <f>IF(AND(Tabela1[[#This Row],[EA Play Season Pass]]="No",Tabela1[[#This Row],[Minecraft Season Pass]]="Yes"), "1", "0")*1</f>
        <v>0</v>
      </c>
      <c r="S46" s="28">
        <f>IF(AND(Tabela1[[#This Row],[EA Play Season Pass]]="Yes",Tabela1[[#This Row],[Minecraft Season Pass]]="No"), "1", "0")*1</f>
        <v>0</v>
      </c>
    </row>
    <row r="47" spans="1:19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24">
        <f>IF(Tabela1[[#This Row],[EA Play Season Pass]]="Yes",1,0)</f>
        <v>1</v>
      </c>
      <c r="J47" s="11">
        <v>30</v>
      </c>
      <c r="K47" s="8" t="s">
        <v>19</v>
      </c>
      <c r="L47" s="24">
        <f>IF(Tabela1[[#This Row],[Minecraft Season Pass]]="Yes",1,0)</f>
        <v>1</v>
      </c>
      <c r="M47" s="11">
        <v>20</v>
      </c>
      <c r="N47" s="11">
        <v>5</v>
      </c>
      <c r="O47" s="11">
        <v>60</v>
      </c>
      <c r="P47" s="23">
        <f>IF(AND(Tabela1[[#This Row],[EA Play Season Pass]]="yes",Tabela1[[#This Row],[Minecraft Season Pass]]="Yes"), "1", "0")*1</f>
        <v>1</v>
      </c>
      <c r="Q47" s="23">
        <f>IF(AND(Tabela1[[#This Row],[EA Play Season Pass]]="No",Tabela1[[#This Row],[Minecraft Season Pass]]="No"), "1", "0")*1</f>
        <v>0</v>
      </c>
      <c r="R47" s="28">
        <f>IF(AND(Tabela1[[#This Row],[EA Play Season Pass]]="No",Tabela1[[#This Row],[Minecraft Season Pass]]="Yes"), "1", "0")*1</f>
        <v>0</v>
      </c>
      <c r="S47" s="28">
        <f>IF(AND(Tabela1[[#This Row],[EA Play Season Pass]]="Yes",Tabela1[[#This Row],[Minecraft Season Pass]]="No"), "1", "0")*1</f>
        <v>0</v>
      </c>
    </row>
    <row r="48" spans="1:19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24">
        <f>IF(Tabela1[[#This Row],[EA Play Season Pass]]="Yes",1,0)</f>
        <v>0</v>
      </c>
      <c r="J48" s="11" t="s">
        <v>311</v>
      </c>
      <c r="K48" s="8" t="s">
        <v>19</v>
      </c>
      <c r="L48" s="24">
        <f>IF(Tabela1[[#This Row],[Minecraft Season Pass]]="Yes",1,0)</f>
        <v>1</v>
      </c>
      <c r="M48" s="11">
        <v>20</v>
      </c>
      <c r="N48" s="11">
        <v>10</v>
      </c>
      <c r="O48" s="11">
        <v>20</v>
      </c>
      <c r="P48" s="23">
        <f>IF(AND(Tabela1[[#This Row],[EA Play Season Pass]]="yes",Tabela1[[#This Row],[Minecraft Season Pass]]="Yes"), "1", "0")*1</f>
        <v>0</v>
      </c>
      <c r="Q48" s="23">
        <f>IF(AND(Tabela1[[#This Row],[EA Play Season Pass]]="No",Tabela1[[#This Row],[Minecraft Season Pass]]="No"), "1", "0")*1</f>
        <v>0</v>
      </c>
      <c r="R48" s="28">
        <f>IF(AND(Tabela1[[#This Row],[EA Play Season Pass]]="No",Tabela1[[#This Row],[Minecraft Season Pass]]="Yes"), "1", "0")*1</f>
        <v>1</v>
      </c>
      <c r="S48" s="28">
        <f>IF(AND(Tabela1[[#This Row],[EA Play Season Pass]]="Yes",Tabela1[[#This Row],[Minecraft Season Pass]]="No"), "1", "0")*1</f>
        <v>0</v>
      </c>
    </row>
    <row r="49" spans="1:19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24">
        <f>IF(Tabela1[[#This Row],[EA Play Season Pass]]="Yes",1,0)</f>
        <v>0</v>
      </c>
      <c r="J49" s="11" t="s">
        <v>311</v>
      </c>
      <c r="K49" s="8" t="s">
        <v>23</v>
      </c>
      <c r="L49" s="24">
        <f>IF(Tabela1[[#This Row],[Minecraft Season Pass]]="Yes",1,0)</f>
        <v>0</v>
      </c>
      <c r="M49" s="11">
        <v>0</v>
      </c>
      <c r="N49" s="11">
        <v>0</v>
      </c>
      <c r="O49" s="11">
        <v>5</v>
      </c>
      <c r="P49" s="23">
        <f>IF(AND(Tabela1[[#This Row],[EA Play Season Pass]]="yes",Tabela1[[#This Row],[Minecraft Season Pass]]="Yes"), "1", "0")*1</f>
        <v>0</v>
      </c>
      <c r="Q49" s="23">
        <f>IF(AND(Tabela1[[#This Row],[EA Play Season Pass]]="No",Tabela1[[#This Row],[Minecraft Season Pass]]="No"), "1", "0")*1</f>
        <v>1</v>
      </c>
      <c r="R49" s="28">
        <f>IF(AND(Tabela1[[#This Row],[EA Play Season Pass]]="No",Tabela1[[#This Row],[Minecraft Season Pass]]="Yes"), "1", "0")*1</f>
        <v>0</v>
      </c>
      <c r="S49" s="28">
        <f>IF(AND(Tabela1[[#This Row],[EA Play Season Pass]]="Yes",Tabela1[[#This Row],[Minecraft Season Pass]]="No"), "1", "0")*1</f>
        <v>0</v>
      </c>
    </row>
    <row r="50" spans="1:19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24">
        <f>IF(Tabela1[[#This Row],[EA Play Season Pass]]="Yes",1,0)</f>
        <v>1</v>
      </c>
      <c r="J50" s="11">
        <v>30</v>
      </c>
      <c r="K50" s="8" t="s">
        <v>19</v>
      </c>
      <c r="L50" s="24">
        <f>IF(Tabela1[[#This Row],[Minecraft Season Pass]]="Yes",1,0)</f>
        <v>1</v>
      </c>
      <c r="M50" s="11">
        <v>20</v>
      </c>
      <c r="N50" s="11">
        <v>3</v>
      </c>
      <c r="O50" s="11">
        <v>62</v>
      </c>
      <c r="P50" s="23">
        <f>IF(AND(Tabela1[[#This Row],[EA Play Season Pass]]="yes",Tabela1[[#This Row],[Minecraft Season Pass]]="Yes"), "1", "0")*1</f>
        <v>1</v>
      </c>
      <c r="Q50" s="23">
        <f>IF(AND(Tabela1[[#This Row],[EA Play Season Pass]]="No",Tabela1[[#This Row],[Minecraft Season Pass]]="No"), "1", "0")*1</f>
        <v>0</v>
      </c>
      <c r="R50" s="28">
        <f>IF(AND(Tabela1[[#This Row],[EA Play Season Pass]]="No",Tabela1[[#This Row],[Minecraft Season Pass]]="Yes"), "1", "0")*1</f>
        <v>0</v>
      </c>
      <c r="S50" s="28">
        <f>IF(AND(Tabela1[[#This Row],[EA Play Season Pass]]="Yes",Tabela1[[#This Row],[Minecraft Season Pass]]="No"), "1", "0")*1</f>
        <v>0</v>
      </c>
    </row>
    <row r="51" spans="1:19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24">
        <f>IF(Tabela1[[#This Row],[EA Play Season Pass]]="Yes",1,0)</f>
        <v>0</v>
      </c>
      <c r="J51" s="11" t="s">
        <v>311</v>
      </c>
      <c r="K51" s="8" t="s">
        <v>19</v>
      </c>
      <c r="L51" s="24">
        <f>IF(Tabela1[[#This Row],[Minecraft Season Pass]]="Yes",1,0)</f>
        <v>1</v>
      </c>
      <c r="M51" s="11">
        <v>20</v>
      </c>
      <c r="N51" s="11">
        <v>15</v>
      </c>
      <c r="O51" s="11">
        <v>15</v>
      </c>
      <c r="P51" s="23">
        <f>IF(AND(Tabela1[[#This Row],[EA Play Season Pass]]="yes",Tabela1[[#This Row],[Minecraft Season Pass]]="Yes"), "1", "0")*1</f>
        <v>0</v>
      </c>
      <c r="Q51" s="23">
        <f>IF(AND(Tabela1[[#This Row],[EA Play Season Pass]]="No",Tabela1[[#This Row],[Minecraft Season Pass]]="No"), "1", "0")*1</f>
        <v>0</v>
      </c>
      <c r="R51" s="28">
        <f>IF(AND(Tabela1[[#This Row],[EA Play Season Pass]]="No",Tabela1[[#This Row],[Minecraft Season Pass]]="Yes"), "1", "0")*1</f>
        <v>1</v>
      </c>
      <c r="S51" s="28">
        <f>IF(AND(Tabela1[[#This Row],[EA Play Season Pass]]="Yes",Tabela1[[#This Row],[Minecraft Season Pass]]="No"), "1", "0")*1</f>
        <v>0</v>
      </c>
    </row>
    <row r="52" spans="1:19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24">
        <f>IF(Tabela1[[#This Row],[EA Play Season Pass]]="Yes",1,0)</f>
        <v>0</v>
      </c>
      <c r="J52" s="11" t="s">
        <v>311</v>
      </c>
      <c r="K52" s="8" t="s">
        <v>23</v>
      </c>
      <c r="L52" s="24">
        <f>IF(Tabela1[[#This Row],[Minecraft Season Pass]]="Yes",1,0)</f>
        <v>0</v>
      </c>
      <c r="M52" s="11">
        <v>0</v>
      </c>
      <c r="N52" s="11">
        <v>1</v>
      </c>
      <c r="O52" s="11">
        <v>4</v>
      </c>
      <c r="P52" s="23">
        <f>IF(AND(Tabela1[[#This Row],[EA Play Season Pass]]="yes",Tabela1[[#This Row],[Minecraft Season Pass]]="Yes"), "1", "0")*1</f>
        <v>0</v>
      </c>
      <c r="Q52" s="23">
        <f>IF(AND(Tabela1[[#This Row],[EA Play Season Pass]]="No",Tabela1[[#This Row],[Minecraft Season Pass]]="No"), "1", "0")*1</f>
        <v>1</v>
      </c>
      <c r="R52" s="28">
        <f>IF(AND(Tabela1[[#This Row],[EA Play Season Pass]]="No",Tabela1[[#This Row],[Minecraft Season Pass]]="Yes"), "1", "0")*1</f>
        <v>0</v>
      </c>
      <c r="S52" s="28">
        <f>IF(AND(Tabela1[[#This Row],[EA Play Season Pass]]="Yes",Tabela1[[#This Row],[Minecraft Season Pass]]="No"), "1", "0")*1</f>
        <v>0</v>
      </c>
    </row>
    <row r="53" spans="1:19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24">
        <f>IF(Tabela1[[#This Row],[EA Play Season Pass]]="Yes",1,0)</f>
        <v>1</v>
      </c>
      <c r="J53" s="11">
        <v>30</v>
      </c>
      <c r="K53" s="8" t="s">
        <v>19</v>
      </c>
      <c r="L53" s="24">
        <f>IF(Tabela1[[#This Row],[Minecraft Season Pass]]="Yes",1,0)</f>
        <v>1</v>
      </c>
      <c r="M53" s="11">
        <v>20</v>
      </c>
      <c r="N53" s="11">
        <v>7</v>
      </c>
      <c r="O53" s="11">
        <v>58</v>
      </c>
      <c r="P53" s="23">
        <f>IF(AND(Tabela1[[#This Row],[EA Play Season Pass]]="yes",Tabela1[[#This Row],[Minecraft Season Pass]]="Yes"), "1", "0")*1</f>
        <v>1</v>
      </c>
      <c r="Q53" s="23">
        <f>IF(AND(Tabela1[[#This Row],[EA Play Season Pass]]="No",Tabela1[[#This Row],[Minecraft Season Pass]]="No"), "1", "0")*1</f>
        <v>0</v>
      </c>
      <c r="R53" s="28">
        <f>IF(AND(Tabela1[[#This Row],[EA Play Season Pass]]="No",Tabela1[[#This Row],[Minecraft Season Pass]]="Yes"), "1", "0")*1</f>
        <v>0</v>
      </c>
      <c r="S53" s="28">
        <f>IF(AND(Tabela1[[#This Row],[EA Play Season Pass]]="Yes",Tabela1[[#This Row],[Minecraft Season Pass]]="No"), "1", "0")*1</f>
        <v>0</v>
      </c>
    </row>
    <row r="54" spans="1:19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24">
        <f>IF(Tabela1[[#This Row],[EA Play Season Pass]]="Yes",1,0)</f>
        <v>0</v>
      </c>
      <c r="J54" s="11" t="s">
        <v>311</v>
      </c>
      <c r="K54" s="8" t="s">
        <v>19</v>
      </c>
      <c r="L54" s="24">
        <f>IF(Tabela1[[#This Row],[Minecraft Season Pass]]="Yes",1,0)</f>
        <v>1</v>
      </c>
      <c r="M54" s="11">
        <v>20</v>
      </c>
      <c r="N54" s="11">
        <v>10</v>
      </c>
      <c r="O54" s="11">
        <v>20</v>
      </c>
      <c r="P54" s="23">
        <f>IF(AND(Tabela1[[#This Row],[EA Play Season Pass]]="yes",Tabela1[[#This Row],[Minecraft Season Pass]]="Yes"), "1", "0")*1</f>
        <v>0</v>
      </c>
      <c r="Q54" s="23">
        <f>IF(AND(Tabela1[[#This Row],[EA Play Season Pass]]="No",Tabela1[[#This Row],[Minecraft Season Pass]]="No"), "1", "0")*1</f>
        <v>0</v>
      </c>
      <c r="R54" s="28">
        <f>IF(AND(Tabela1[[#This Row],[EA Play Season Pass]]="No",Tabela1[[#This Row],[Minecraft Season Pass]]="Yes"), "1", "0")*1</f>
        <v>1</v>
      </c>
      <c r="S54" s="28">
        <f>IF(AND(Tabela1[[#This Row],[EA Play Season Pass]]="Yes",Tabela1[[#This Row],[Minecraft Season Pass]]="No"), "1", "0")*1</f>
        <v>0</v>
      </c>
    </row>
    <row r="55" spans="1:19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24">
        <f>IF(Tabela1[[#This Row],[EA Play Season Pass]]="Yes",1,0)</f>
        <v>0</v>
      </c>
      <c r="J55" s="11" t="s">
        <v>311</v>
      </c>
      <c r="K55" s="8" t="s">
        <v>23</v>
      </c>
      <c r="L55" s="24">
        <f>IF(Tabela1[[#This Row],[Minecraft Season Pass]]="Yes",1,0)</f>
        <v>0</v>
      </c>
      <c r="M55" s="11">
        <v>0</v>
      </c>
      <c r="N55" s="11">
        <v>0</v>
      </c>
      <c r="O55" s="11">
        <v>5</v>
      </c>
      <c r="P55" s="23">
        <f>IF(AND(Tabela1[[#This Row],[EA Play Season Pass]]="yes",Tabela1[[#This Row],[Minecraft Season Pass]]="Yes"), "1", "0")*1</f>
        <v>0</v>
      </c>
      <c r="Q55" s="23">
        <f>IF(AND(Tabela1[[#This Row],[EA Play Season Pass]]="No",Tabela1[[#This Row],[Minecraft Season Pass]]="No"), "1", "0")*1</f>
        <v>1</v>
      </c>
      <c r="R55" s="28">
        <f>IF(AND(Tabela1[[#This Row],[EA Play Season Pass]]="No",Tabela1[[#This Row],[Minecraft Season Pass]]="Yes"), "1", "0")*1</f>
        <v>0</v>
      </c>
      <c r="S55" s="28">
        <f>IF(AND(Tabela1[[#This Row],[EA Play Season Pass]]="Yes",Tabela1[[#This Row],[Minecraft Season Pass]]="No"), "1", "0")*1</f>
        <v>0</v>
      </c>
    </row>
    <row r="56" spans="1:19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24">
        <f>IF(Tabela1[[#This Row],[EA Play Season Pass]]="Yes",1,0)</f>
        <v>1</v>
      </c>
      <c r="J56" s="11">
        <v>30</v>
      </c>
      <c r="K56" s="8" t="s">
        <v>19</v>
      </c>
      <c r="L56" s="24">
        <f>IF(Tabela1[[#This Row],[Minecraft Season Pass]]="Yes",1,0)</f>
        <v>1</v>
      </c>
      <c r="M56" s="11">
        <v>20</v>
      </c>
      <c r="N56" s="11">
        <v>20</v>
      </c>
      <c r="O56" s="11">
        <v>45</v>
      </c>
      <c r="P56" s="23">
        <f>IF(AND(Tabela1[[#This Row],[EA Play Season Pass]]="yes",Tabela1[[#This Row],[Minecraft Season Pass]]="Yes"), "1", "0")*1</f>
        <v>1</v>
      </c>
      <c r="Q56" s="23">
        <f>IF(AND(Tabela1[[#This Row],[EA Play Season Pass]]="No",Tabela1[[#This Row],[Minecraft Season Pass]]="No"), "1", "0")*1</f>
        <v>0</v>
      </c>
      <c r="R56" s="28">
        <f>IF(AND(Tabela1[[#This Row],[EA Play Season Pass]]="No",Tabela1[[#This Row],[Minecraft Season Pass]]="Yes"), "1", "0")*1</f>
        <v>0</v>
      </c>
      <c r="S56" s="28">
        <f>IF(AND(Tabela1[[#This Row],[EA Play Season Pass]]="Yes",Tabela1[[#This Row],[Minecraft Season Pass]]="No"), "1", "0")*1</f>
        <v>0</v>
      </c>
    </row>
    <row r="57" spans="1:19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24">
        <f>IF(Tabela1[[#This Row],[EA Play Season Pass]]="Yes",1,0)</f>
        <v>0</v>
      </c>
      <c r="J57" s="11" t="s">
        <v>311</v>
      </c>
      <c r="K57" s="8" t="s">
        <v>19</v>
      </c>
      <c r="L57" s="24">
        <f>IF(Tabela1[[#This Row],[Minecraft Season Pass]]="Yes",1,0)</f>
        <v>1</v>
      </c>
      <c r="M57" s="11">
        <v>20</v>
      </c>
      <c r="N57" s="11">
        <v>15</v>
      </c>
      <c r="O57" s="11">
        <v>15</v>
      </c>
      <c r="P57" s="23">
        <f>IF(AND(Tabela1[[#This Row],[EA Play Season Pass]]="yes",Tabela1[[#This Row],[Minecraft Season Pass]]="Yes"), "1", "0")*1</f>
        <v>0</v>
      </c>
      <c r="Q57" s="23">
        <f>IF(AND(Tabela1[[#This Row],[EA Play Season Pass]]="No",Tabela1[[#This Row],[Minecraft Season Pass]]="No"), "1", "0")*1</f>
        <v>0</v>
      </c>
      <c r="R57" s="28">
        <f>IF(AND(Tabela1[[#This Row],[EA Play Season Pass]]="No",Tabela1[[#This Row],[Minecraft Season Pass]]="Yes"), "1", "0")*1</f>
        <v>1</v>
      </c>
      <c r="S57" s="28">
        <f>IF(AND(Tabela1[[#This Row],[EA Play Season Pass]]="Yes",Tabela1[[#This Row],[Minecraft Season Pass]]="No"), "1", "0")*1</f>
        <v>0</v>
      </c>
    </row>
    <row r="58" spans="1:19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24">
        <f>IF(Tabela1[[#This Row],[EA Play Season Pass]]="Yes",1,0)</f>
        <v>0</v>
      </c>
      <c r="J58" s="11" t="s">
        <v>311</v>
      </c>
      <c r="K58" s="8" t="s">
        <v>23</v>
      </c>
      <c r="L58" s="24">
        <f>IF(Tabela1[[#This Row],[Minecraft Season Pass]]="Yes",1,0)</f>
        <v>0</v>
      </c>
      <c r="M58" s="11">
        <v>0</v>
      </c>
      <c r="N58" s="11">
        <v>1</v>
      </c>
      <c r="O58" s="11">
        <v>4</v>
      </c>
      <c r="P58" s="23">
        <f>IF(AND(Tabela1[[#This Row],[EA Play Season Pass]]="yes",Tabela1[[#This Row],[Minecraft Season Pass]]="Yes"), "1", "0")*1</f>
        <v>0</v>
      </c>
      <c r="Q58" s="23">
        <f>IF(AND(Tabela1[[#This Row],[EA Play Season Pass]]="No",Tabela1[[#This Row],[Minecraft Season Pass]]="No"), "1", "0")*1</f>
        <v>1</v>
      </c>
      <c r="R58" s="28">
        <f>IF(AND(Tabela1[[#This Row],[EA Play Season Pass]]="No",Tabela1[[#This Row],[Minecraft Season Pass]]="Yes"), "1", "0")*1</f>
        <v>0</v>
      </c>
      <c r="S58" s="28">
        <f>IF(AND(Tabela1[[#This Row],[EA Play Season Pass]]="Yes",Tabela1[[#This Row],[Minecraft Season Pass]]="No"), "1", "0")*1</f>
        <v>0</v>
      </c>
    </row>
    <row r="59" spans="1:19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24">
        <f>IF(Tabela1[[#This Row],[EA Play Season Pass]]="Yes",1,0)</f>
        <v>1</v>
      </c>
      <c r="J59" s="11">
        <v>30</v>
      </c>
      <c r="K59" s="8" t="s">
        <v>19</v>
      </c>
      <c r="L59" s="24">
        <f>IF(Tabela1[[#This Row],[Minecraft Season Pass]]="Yes",1,0)</f>
        <v>1</v>
      </c>
      <c r="M59" s="11">
        <v>20</v>
      </c>
      <c r="N59" s="11">
        <v>3</v>
      </c>
      <c r="O59" s="11">
        <v>62</v>
      </c>
      <c r="P59" s="23">
        <f>IF(AND(Tabela1[[#This Row],[EA Play Season Pass]]="yes",Tabela1[[#This Row],[Minecraft Season Pass]]="Yes"), "1", "0")*1</f>
        <v>1</v>
      </c>
      <c r="Q59" s="23">
        <f>IF(AND(Tabela1[[#This Row],[EA Play Season Pass]]="No",Tabela1[[#This Row],[Minecraft Season Pass]]="No"), "1", "0")*1</f>
        <v>0</v>
      </c>
      <c r="R59" s="28">
        <f>IF(AND(Tabela1[[#This Row],[EA Play Season Pass]]="No",Tabela1[[#This Row],[Minecraft Season Pass]]="Yes"), "1", "0")*1</f>
        <v>0</v>
      </c>
      <c r="S59" s="28">
        <f>IF(AND(Tabela1[[#This Row],[EA Play Season Pass]]="Yes",Tabela1[[#This Row],[Minecraft Season Pass]]="No"), "1", "0")*1</f>
        <v>0</v>
      </c>
    </row>
    <row r="60" spans="1:19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24">
        <f>IF(Tabela1[[#This Row],[EA Play Season Pass]]="Yes",1,0)</f>
        <v>0</v>
      </c>
      <c r="J60" s="11" t="s">
        <v>311</v>
      </c>
      <c r="K60" s="8" t="s">
        <v>19</v>
      </c>
      <c r="L60" s="24">
        <f>IF(Tabela1[[#This Row],[Minecraft Season Pass]]="Yes",1,0)</f>
        <v>1</v>
      </c>
      <c r="M60" s="11">
        <v>20</v>
      </c>
      <c r="N60" s="11">
        <v>10</v>
      </c>
      <c r="O60" s="11">
        <v>20</v>
      </c>
      <c r="P60" s="23">
        <f>IF(AND(Tabela1[[#This Row],[EA Play Season Pass]]="yes",Tabela1[[#This Row],[Minecraft Season Pass]]="Yes"), "1", "0")*1</f>
        <v>0</v>
      </c>
      <c r="Q60" s="23">
        <f>IF(AND(Tabela1[[#This Row],[EA Play Season Pass]]="No",Tabela1[[#This Row],[Minecraft Season Pass]]="No"), "1", "0")*1</f>
        <v>0</v>
      </c>
      <c r="R60" s="28">
        <f>IF(AND(Tabela1[[#This Row],[EA Play Season Pass]]="No",Tabela1[[#This Row],[Minecraft Season Pass]]="Yes"), "1", "0")*1</f>
        <v>1</v>
      </c>
      <c r="S60" s="28">
        <f>IF(AND(Tabela1[[#This Row],[EA Play Season Pass]]="Yes",Tabela1[[#This Row],[Minecraft Season Pass]]="No"), "1", "0")*1</f>
        <v>0</v>
      </c>
    </row>
    <row r="61" spans="1:19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24">
        <f>IF(Tabela1[[#This Row],[EA Play Season Pass]]="Yes",1,0)</f>
        <v>0</v>
      </c>
      <c r="J61" s="11" t="s">
        <v>311</v>
      </c>
      <c r="K61" s="8" t="s">
        <v>23</v>
      </c>
      <c r="L61" s="24">
        <f>IF(Tabela1[[#This Row],[Minecraft Season Pass]]="Yes",1,0)</f>
        <v>0</v>
      </c>
      <c r="M61" s="11">
        <v>0</v>
      </c>
      <c r="N61" s="11">
        <v>0</v>
      </c>
      <c r="O61" s="11">
        <v>5</v>
      </c>
      <c r="P61" s="23">
        <f>IF(AND(Tabela1[[#This Row],[EA Play Season Pass]]="yes",Tabela1[[#This Row],[Minecraft Season Pass]]="Yes"), "1", "0")*1</f>
        <v>0</v>
      </c>
      <c r="Q61" s="23">
        <f>IF(AND(Tabela1[[#This Row],[EA Play Season Pass]]="No",Tabela1[[#This Row],[Minecraft Season Pass]]="No"), "1", "0")*1</f>
        <v>1</v>
      </c>
      <c r="R61" s="28">
        <f>IF(AND(Tabela1[[#This Row],[EA Play Season Pass]]="No",Tabela1[[#This Row],[Minecraft Season Pass]]="Yes"), "1", "0")*1</f>
        <v>0</v>
      </c>
      <c r="S61" s="28">
        <f>IF(AND(Tabela1[[#This Row],[EA Play Season Pass]]="Yes",Tabela1[[#This Row],[Minecraft Season Pass]]="No"), "1", "0")*1</f>
        <v>0</v>
      </c>
    </row>
    <row r="62" spans="1:19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24">
        <f>IF(Tabela1[[#This Row],[EA Play Season Pass]]="Yes",1,0)</f>
        <v>1</v>
      </c>
      <c r="J62" s="11">
        <v>30</v>
      </c>
      <c r="K62" s="8" t="s">
        <v>19</v>
      </c>
      <c r="L62" s="24">
        <f>IF(Tabela1[[#This Row],[Minecraft Season Pass]]="Yes",1,0)</f>
        <v>1</v>
      </c>
      <c r="M62" s="11">
        <v>20</v>
      </c>
      <c r="N62" s="11">
        <v>5</v>
      </c>
      <c r="O62" s="11">
        <v>60</v>
      </c>
      <c r="P62" s="23">
        <f>IF(AND(Tabela1[[#This Row],[EA Play Season Pass]]="yes",Tabela1[[#This Row],[Minecraft Season Pass]]="Yes"), "1", "0")*1</f>
        <v>1</v>
      </c>
      <c r="Q62" s="23">
        <f>IF(AND(Tabela1[[#This Row],[EA Play Season Pass]]="No",Tabela1[[#This Row],[Minecraft Season Pass]]="No"), "1", "0")*1</f>
        <v>0</v>
      </c>
      <c r="R62" s="28">
        <f>IF(AND(Tabela1[[#This Row],[EA Play Season Pass]]="No",Tabela1[[#This Row],[Minecraft Season Pass]]="Yes"), "1", "0")*1</f>
        <v>0</v>
      </c>
      <c r="S62" s="28">
        <f>IF(AND(Tabela1[[#This Row],[EA Play Season Pass]]="Yes",Tabela1[[#This Row],[Minecraft Season Pass]]="No"), "1", "0")*1</f>
        <v>0</v>
      </c>
    </row>
    <row r="63" spans="1:19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24">
        <f>IF(Tabela1[[#This Row],[EA Play Season Pass]]="Yes",1,0)</f>
        <v>0</v>
      </c>
      <c r="J63" s="11" t="s">
        <v>311</v>
      </c>
      <c r="K63" s="8" t="s">
        <v>19</v>
      </c>
      <c r="L63" s="24">
        <f>IF(Tabela1[[#This Row],[Minecraft Season Pass]]="Yes",1,0)</f>
        <v>1</v>
      </c>
      <c r="M63" s="11">
        <v>20</v>
      </c>
      <c r="N63" s="11">
        <v>15</v>
      </c>
      <c r="O63" s="11">
        <v>15</v>
      </c>
      <c r="P63" s="23">
        <f>IF(AND(Tabela1[[#This Row],[EA Play Season Pass]]="yes",Tabela1[[#This Row],[Minecraft Season Pass]]="Yes"), "1", "0")*1</f>
        <v>0</v>
      </c>
      <c r="Q63" s="23">
        <f>IF(AND(Tabela1[[#This Row],[EA Play Season Pass]]="No",Tabela1[[#This Row],[Minecraft Season Pass]]="No"), "1", "0")*1</f>
        <v>0</v>
      </c>
      <c r="R63" s="28">
        <f>IF(AND(Tabela1[[#This Row],[EA Play Season Pass]]="No",Tabela1[[#This Row],[Minecraft Season Pass]]="Yes"), "1", "0")*1</f>
        <v>1</v>
      </c>
      <c r="S63" s="28">
        <f>IF(AND(Tabela1[[#This Row],[EA Play Season Pass]]="Yes",Tabela1[[#This Row],[Minecraft Season Pass]]="No"), "1", "0")*1</f>
        <v>0</v>
      </c>
    </row>
    <row r="64" spans="1:19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24">
        <f>IF(Tabela1[[#This Row],[EA Play Season Pass]]="Yes",1,0)</f>
        <v>0</v>
      </c>
      <c r="J64" s="11" t="s">
        <v>311</v>
      </c>
      <c r="K64" s="8" t="s">
        <v>23</v>
      </c>
      <c r="L64" s="24">
        <f>IF(Tabela1[[#This Row],[Minecraft Season Pass]]="Yes",1,0)</f>
        <v>0</v>
      </c>
      <c r="M64" s="11">
        <v>0</v>
      </c>
      <c r="N64" s="11">
        <v>1</v>
      </c>
      <c r="O64" s="11">
        <v>4</v>
      </c>
      <c r="P64" s="23">
        <f>IF(AND(Tabela1[[#This Row],[EA Play Season Pass]]="yes",Tabela1[[#This Row],[Minecraft Season Pass]]="Yes"), "1", "0")*1</f>
        <v>0</v>
      </c>
      <c r="Q64" s="23">
        <f>IF(AND(Tabela1[[#This Row],[EA Play Season Pass]]="No",Tabela1[[#This Row],[Minecraft Season Pass]]="No"), "1", "0")*1</f>
        <v>1</v>
      </c>
      <c r="R64" s="28">
        <f>IF(AND(Tabela1[[#This Row],[EA Play Season Pass]]="No",Tabela1[[#This Row],[Minecraft Season Pass]]="Yes"), "1", "0")*1</f>
        <v>0</v>
      </c>
      <c r="S64" s="28">
        <f>IF(AND(Tabela1[[#This Row],[EA Play Season Pass]]="Yes",Tabela1[[#This Row],[Minecraft Season Pass]]="No"), "1", "0")*1</f>
        <v>0</v>
      </c>
    </row>
    <row r="65" spans="1:19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24">
        <f>IF(Tabela1[[#This Row],[EA Play Season Pass]]="Yes",1,0)</f>
        <v>1</v>
      </c>
      <c r="J65" s="11">
        <v>30</v>
      </c>
      <c r="K65" s="8" t="s">
        <v>19</v>
      </c>
      <c r="L65" s="24">
        <f>IF(Tabela1[[#This Row],[Minecraft Season Pass]]="Yes",1,0)</f>
        <v>1</v>
      </c>
      <c r="M65" s="11">
        <v>20</v>
      </c>
      <c r="N65" s="11">
        <v>20</v>
      </c>
      <c r="O65" s="11">
        <v>45</v>
      </c>
      <c r="P65" s="23">
        <f>IF(AND(Tabela1[[#This Row],[EA Play Season Pass]]="yes",Tabela1[[#This Row],[Minecraft Season Pass]]="Yes"), "1", "0")*1</f>
        <v>1</v>
      </c>
      <c r="Q65" s="23">
        <f>IF(AND(Tabela1[[#This Row],[EA Play Season Pass]]="No",Tabela1[[#This Row],[Minecraft Season Pass]]="No"), "1", "0")*1</f>
        <v>0</v>
      </c>
      <c r="R65" s="28">
        <f>IF(AND(Tabela1[[#This Row],[EA Play Season Pass]]="No",Tabela1[[#This Row],[Minecraft Season Pass]]="Yes"), "1", "0")*1</f>
        <v>0</v>
      </c>
      <c r="S65" s="28">
        <f>IF(AND(Tabela1[[#This Row],[EA Play Season Pass]]="Yes",Tabela1[[#This Row],[Minecraft Season Pass]]="No"), "1", "0")*1</f>
        <v>0</v>
      </c>
    </row>
    <row r="66" spans="1:19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24">
        <f>IF(Tabela1[[#This Row],[EA Play Season Pass]]="Yes",1,0)</f>
        <v>0</v>
      </c>
      <c r="J66" s="11" t="s">
        <v>311</v>
      </c>
      <c r="K66" s="8" t="s">
        <v>19</v>
      </c>
      <c r="L66" s="24">
        <f>IF(Tabela1[[#This Row],[Minecraft Season Pass]]="Yes",1,0)</f>
        <v>1</v>
      </c>
      <c r="M66" s="11">
        <v>20</v>
      </c>
      <c r="N66" s="11">
        <v>5</v>
      </c>
      <c r="O66" s="11">
        <v>25</v>
      </c>
      <c r="P66" s="23">
        <f>IF(AND(Tabela1[[#This Row],[EA Play Season Pass]]="yes",Tabela1[[#This Row],[Minecraft Season Pass]]="Yes"), "1", "0")*1</f>
        <v>0</v>
      </c>
      <c r="Q66" s="23">
        <f>IF(AND(Tabela1[[#This Row],[EA Play Season Pass]]="No",Tabela1[[#This Row],[Minecraft Season Pass]]="No"), "1", "0")*1</f>
        <v>0</v>
      </c>
      <c r="R66" s="28">
        <f>IF(AND(Tabela1[[#This Row],[EA Play Season Pass]]="No",Tabela1[[#This Row],[Minecraft Season Pass]]="Yes"), "1", "0")*1</f>
        <v>1</v>
      </c>
      <c r="S66" s="28">
        <f>IF(AND(Tabela1[[#This Row],[EA Play Season Pass]]="Yes",Tabela1[[#This Row],[Minecraft Season Pass]]="No"), "1", "0")*1</f>
        <v>0</v>
      </c>
    </row>
    <row r="67" spans="1:19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24">
        <f>IF(Tabela1[[#This Row],[EA Play Season Pass]]="Yes",1,0)</f>
        <v>0</v>
      </c>
      <c r="J67" s="11" t="s">
        <v>311</v>
      </c>
      <c r="K67" s="8" t="s">
        <v>23</v>
      </c>
      <c r="L67" s="24">
        <f>IF(Tabela1[[#This Row],[Minecraft Season Pass]]="Yes",1,0)</f>
        <v>0</v>
      </c>
      <c r="M67" s="11">
        <v>0</v>
      </c>
      <c r="N67" s="11">
        <v>0</v>
      </c>
      <c r="O67" s="11">
        <v>5</v>
      </c>
      <c r="P67" s="23">
        <f>IF(AND(Tabela1[[#This Row],[EA Play Season Pass]]="yes",Tabela1[[#This Row],[Minecraft Season Pass]]="Yes"), "1", "0")*1</f>
        <v>0</v>
      </c>
      <c r="Q67" s="23">
        <f>IF(AND(Tabela1[[#This Row],[EA Play Season Pass]]="No",Tabela1[[#This Row],[Minecraft Season Pass]]="No"), "1", "0")*1</f>
        <v>1</v>
      </c>
      <c r="R67" s="28">
        <f>IF(AND(Tabela1[[#This Row],[EA Play Season Pass]]="No",Tabela1[[#This Row],[Minecraft Season Pass]]="Yes"), "1", "0")*1</f>
        <v>0</v>
      </c>
      <c r="S67" s="28">
        <f>IF(AND(Tabela1[[#This Row],[EA Play Season Pass]]="Yes",Tabela1[[#This Row],[Minecraft Season Pass]]="No"), "1", "0")*1</f>
        <v>0</v>
      </c>
    </row>
    <row r="68" spans="1:19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24">
        <f>IF(Tabela1[[#This Row],[EA Play Season Pass]]="Yes",1,0)</f>
        <v>1</v>
      </c>
      <c r="J68" s="11">
        <v>30</v>
      </c>
      <c r="K68" s="8" t="s">
        <v>19</v>
      </c>
      <c r="L68" s="24">
        <f>IF(Tabela1[[#This Row],[Minecraft Season Pass]]="Yes",1,0)</f>
        <v>1</v>
      </c>
      <c r="M68" s="11">
        <v>20</v>
      </c>
      <c r="N68" s="11">
        <v>7</v>
      </c>
      <c r="O68" s="11">
        <v>58</v>
      </c>
      <c r="P68" s="23">
        <f>IF(AND(Tabela1[[#This Row],[EA Play Season Pass]]="yes",Tabela1[[#This Row],[Minecraft Season Pass]]="Yes"), "1", "0")*1</f>
        <v>1</v>
      </c>
      <c r="Q68" s="23">
        <f>IF(AND(Tabela1[[#This Row],[EA Play Season Pass]]="No",Tabela1[[#This Row],[Minecraft Season Pass]]="No"), "1", "0")*1</f>
        <v>0</v>
      </c>
      <c r="R68" s="28">
        <f>IF(AND(Tabela1[[#This Row],[EA Play Season Pass]]="No",Tabela1[[#This Row],[Minecraft Season Pass]]="Yes"), "1", "0")*1</f>
        <v>0</v>
      </c>
      <c r="S68" s="28">
        <f>IF(AND(Tabela1[[#This Row],[EA Play Season Pass]]="Yes",Tabela1[[#This Row],[Minecraft Season Pass]]="No"), "1", "0")*1</f>
        <v>0</v>
      </c>
    </row>
    <row r="69" spans="1:19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24">
        <f>IF(Tabela1[[#This Row],[EA Play Season Pass]]="Yes",1,0)</f>
        <v>0</v>
      </c>
      <c r="J69" s="11" t="s">
        <v>311</v>
      </c>
      <c r="K69" s="8" t="s">
        <v>19</v>
      </c>
      <c r="L69" s="24">
        <f>IF(Tabela1[[#This Row],[Minecraft Season Pass]]="Yes",1,0)</f>
        <v>1</v>
      </c>
      <c r="M69" s="11">
        <v>20</v>
      </c>
      <c r="N69" s="11">
        <v>10</v>
      </c>
      <c r="O69" s="11">
        <v>20</v>
      </c>
      <c r="P69" s="23">
        <f>IF(AND(Tabela1[[#This Row],[EA Play Season Pass]]="yes",Tabela1[[#This Row],[Minecraft Season Pass]]="Yes"), "1", "0")*1</f>
        <v>0</v>
      </c>
      <c r="Q69" s="23">
        <f>IF(AND(Tabela1[[#This Row],[EA Play Season Pass]]="No",Tabela1[[#This Row],[Minecraft Season Pass]]="No"), "1", "0")*1</f>
        <v>0</v>
      </c>
      <c r="R69" s="28">
        <f>IF(AND(Tabela1[[#This Row],[EA Play Season Pass]]="No",Tabela1[[#This Row],[Minecraft Season Pass]]="Yes"), "1", "0")*1</f>
        <v>1</v>
      </c>
      <c r="S69" s="28">
        <f>IF(AND(Tabela1[[#This Row],[EA Play Season Pass]]="Yes",Tabela1[[#This Row],[Minecraft Season Pass]]="No"), "1", "0")*1</f>
        <v>0</v>
      </c>
    </row>
    <row r="70" spans="1:19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24">
        <f>IF(Tabela1[[#This Row],[EA Play Season Pass]]="Yes",1,0)</f>
        <v>0</v>
      </c>
      <c r="J70" s="11" t="s">
        <v>311</v>
      </c>
      <c r="K70" s="8" t="s">
        <v>23</v>
      </c>
      <c r="L70" s="24">
        <f>IF(Tabela1[[#This Row],[Minecraft Season Pass]]="Yes",1,0)</f>
        <v>0</v>
      </c>
      <c r="M70" s="11">
        <v>0</v>
      </c>
      <c r="N70" s="11">
        <v>1</v>
      </c>
      <c r="O70" s="11">
        <v>4</v>
      </c>
      <c r="P70" s="23">
        <f>IF(AND(Tabela1[[#This Row],[EA Play Season Pass]]="yes",Tabela1[[#This Row],[Minecraft Season Pass]]="Yes"), "1", "0")*1</f>
        <v>0</v>
      </c>
      <c r="Q70" s="23">
        <f>IF(AND(Tabela1[[#This Row],[EA Play Season Pass]]="No",Tabela1[[#This Row],[Minecraft Season Pass]]="No"), "1", "0")*1</f>
        <v>1</v>
      </c>
      <c r="R70" s="28">
        <f>IF(AND(Tabela1[[#This Row],[EA Play Season Pass]]="No",Tabela1[[#This Row],[Minecraft Season Pass]]="Yes"), "1", "0")*1</f>
        <v>0</v>
      </c>
      <c r="S70" s="28">
        <f>IF(AND(Tabela1[[#This Row],[EA Play Season Pass]]="Yes",Tabela1[[#This Row],[Minecraft Season Pass]]="No"), "1", "0")*1</f>
        <v>0</v>
      </c>
    </row>
    <row r="71" spans="1:19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24">
        <f>IF(Tabela1[[#This Row],[EA Play Season Pass]]="Yes",1,0)</f>
        <v>1</v>
      </c>
      <c r="J71" s="11">
        <v>30</v>
      </c>
      <c r="K71" s="8" t="s">
        <v>19</v>
      </c>
      <c r="L71" s="24">
        <f>IF(Tabela1[[#This Row],[Minecraft Season Pass]]="Yes",1,0)</f>
        <v>1</v>
      </c>
      <c r="M71" s="11">
        <v>20</v>
      </c>
      <c r="N71" s="11">
        <v>15</v>
      </c>
      <c r="O71" s="11">
        <v>50</v>
      </c>
      <c r="P71" s="23">
        <f>IF(AND(Tabela1[[#This Row],[EA Play Season Pass]]="yes",Tabela1[[#This Row],[Minecraft Season Pass]]="Yes"), "1", "0")*1</f>
        <v>1</v>
      </c>
      <c r="Q71" s="23">
        <f>IF(AND(Tabela1[[#This Row],[EA Play Season Pass]]="No",Tabela1[[#This Row],[Minecraft Season Pass]]="No"), "1", "0")*1</f>
        <v>0</v>
      </c>
      <c r="R71" s="28">
        <f>IF(AND(Tabela1[[#This Row],[EA Play Season Pass]]="No",Tabela1[[#This Row],[Minecraft Season Pass]]="Yes"), "1", "0")*1</f>
        <v>0</v>
      </c>
      <c r="S71" s="28">
        <f>IF(AND(Tabela1[[#This Row],[EA Play Season Pass]]="Yes",Tabela1[[#This Row],[Minecraft Season Pass]]="No"), "1", "0")*1</f>
        <v>0</v>
      </c>
    </row>
    <row r="72" spans="1:19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24">
        <f>IF(Tabela1[[#This Row],[EA Play Season Pass]]="Yes",1,0)</f>
        <v>0</v>
      </c>
      <c r="J72" s="11" t="s">
        <v>311</v>
      </c>
      <c r="K72" s="8" t="s">
        <v>19</v>
      </c>
      <c r="L72" s="24">
        <f>IF(Tabela1[[#This Row],[Minecraft Season Pass]]="Yes",1,0)</f>
        <v>1</v>
      </c>
      <c r="M72" s="11">
        <v>20</v>
      </c>
      <c r="N72" s="11">
        <v>5</v>
      </c>
      <c r="O72" s="11">
        <v>25</v>
      </c>
      <c r="P72" s="23">
        <f>IF(AND(Tabela1[[#This Row],[EA Play Season Pass]]="yes",Tabela1[[#This Row],[Minecraft Season Pass]]="Yes"), "1", "0")*1</f>
        <v>0</v>
      </c>
      <c r="Q72" s="23">
        <f>IF(AND(Tabela1[[#This Row],[EA Play Season Pass]]="No",Tabela1[[#This Row],[Minecraft Season Pass]]="No"), "1", "0")*1</f>
        <v>0</v>
      </c>
      <c r="R72" s="28">
        <f>IF(AND(Tabela1[[#This Row],[EA Play Season Pass]]="No",Tabela1[[#This Row],[Minecraft Season Pass]]="Yes"), "1", "0")*1</f>
        <v>1</v>
      </c>
      <c r="S72" s="28">
        <f>IF(AND(Tabela1[[#This Row],[EA Play Season Pass]]="Yes",Tabela1[[#This Row],[Minecraft Season Pass]]="No"), "1", "0")*1</f>
        <v>0</v>
      </c>
    </row>
    <row r="73" spans="1:19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24">
        <f>IF(Tabela1[[#This Row],[EA Play Season Pass]]="Yes",1,0)</f>
        <v>0</v>
      </c>
      <c r="J73" s="11" t="s">
        <v>311</v>
      </c>
      <c r="K73" s="8" t="s">
        <v>23</v>
      </c>
      <c r="L73" s="24">
        <f>IF(Tabela1[[#This Row],[Minecraft Season Pass]]="Yes",1,0)</f>
        <v>0</v>
      </c>
      <c r="M73" s="11">
        <v>0</v>
      </c>
      <c r="N73" s="11">
        <v>0</v>
      </c>
      <c r="O73" s="11">
        <v>5</v>
      </c>
      <c r="P73" s="23">
        <f>IF(AND(Tabela1[[#This Row],[EA Play Season Pass]]="yes",Tabela1[[#This Row],[Minecraft Season Pass]]="Yes"), "1", "0")*1</f>
        <v>0</v>
      </c>
      <c r="Q73" s="23">
        <f>IF(AND(Tabela1[[#This Row],[EA Play Season Pass]]="No",Tabela1[[#This Row],[Minecraft Season Pass]]="No"), "1", "0")*1</f>
        <v>1</v>
      </c>
      <c r="R73" s="28">
        <f>IF(AND(Tabela1[[#This Row],[EA Play Season Pass]]="No",Tabela1[[#This Row],[Minecraft Season Pass]]="Yes"), "1", "0")*1</f>
        <v>0</v>
      </c>
      <c r="S73" s="28">
        <f>IF(AND(Tabela1[[#This Row],[EA Play Season Pass]]="Yes",Tabela1[[#This Row],[Minecraft Season Pass]]="No"), "1", "0")*1</f>
        <v>0</v>
      </c>
    </row>
    <row r="74" spans="1:19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24">
        <f>IF(Tabela1[[#This Row],[EA Play Season Pass]]="Yes",1,0)</f>
        <v>1</v>
      </c>
      <c r="J74" s="11">
        <v>30</v>
      </c>
      <c r="K74" s="8" t="s">
        <v>19</v>
      </c>
      <c r="L74" s="24">
        <f>IF(Tabela1[[#This Row],[Minecraft Season Pass]]="Yes",1,0)</f>
        <v>1</v>
      </c>
      <c r="M74" s="11">
        <v>20</v>
      </c>
      <c r="N74" s="11">
        <v>20</v>
      </c>
      <c r="O74" s="11">
        <v>45</v>
      </c>
      <c r="P74" s="23">
        <f>IF(AND(Tabela1[[#This Row],[EA Play Season Pass]]="yes",Tabela1[[#This Row],[Minecraft Season Pass]]="Yes"), "1", "0")*1</f>
        <v>1</v>
      </c>
      <c r="Q74" s="23">
        <f>IF(AND(Tabela1[[#This Row],[EA Play Season Pass]]="No",Tabela1[[#This Row],[Minecraft Season Pass]]="No"), "1", "0")*1</f>
        <v>0</v>
      </c>
      <c r="R74" s="28">
        <f>IF(AND(Tabela1[[#This Row],[EA Play Season Pass]]="No",Tabela1[[#This Row],[Minecraft Season Pass]]="Yes"), "1", "0")*1</f>
        <v>0</v>
      </c>
      <c r="S74" s="28">
        <f>IF(AND(Tabela1[[#This Row],[EA Play Season Pass]]="Yes",Tabela1[[#This Row],[Minecraft Season Pass]]="No"), "1", "0")*1</f>
        <v>0</v>
      </c>
    </row>
    <row r="75" spans="1:19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24">
        <f>IF(Tabela1[[#This Row],[EA Play Season Pass]]="Yes",1,0)</f>
        <v>0</v>
      </c>
      <c r="J75" s="11" t="s">
        <v>311</v>
      </c>
      <c r="K75" s="8" t="s">
        <v>19</v>
      </c>
      <c r="L75" s="24">
        <f>IF(Tabela1[[#This Row],[Minecraft Season Pass]]="Yes",1,0)</f>
        <v>1</v>
      </c>
      <c r="M75" s="11">
        <v>20</v>
      </c>
      <c r="N75" s="11">
        <v>12</v>
      </c>
      <c r="O75" s="11">
        <v>18</v>
      </c>
      <c r="P75" s="23">
        <f>IF(AND(Tabela1[[#This Row],[EA Play Season Pass]]="yes",Tabela1[[#This Row],[Minecraft Season Pass]]="Yes"), "1", "0")*1</f>
        <v>0</v>
      </c>
      <c r="Q75" s="23">
        <f>IF(AND(Tabela1[[#This Row],[EA Play Season Pass]]="No",Tabela1[[#This Row],[Minecraft Season Pass]]="No"), "1", "0")*1</f>
        <v>0</v>
      </c>
      <c r="R75" s="28">
        <f>IF(AND(Tabela1[[#This Row],[EA Play Season Pass]]="No",Tabela1[[#This Row],[Minecraft Season Pass]]="Yes"), "1", "0")*1</f>
        <v>1</v>
      </c>
      <c r="S75" s="28">
        <f>IF(AND(Tabela1[[#This Row],[EA Play Season Pass]]="Yes",Tabela1[[#This Row],[Minecraft Season Pass]]="No"), "1", "0")*1</f>
        <v>0</v>
      </c>
    </row>
    <row r="76" spans="1:19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24">
        <f>IF(Tabela1[[#This Row],[EA Play Season Pass]]="Yes",1,0)</f>
        <v>0</v>
      </c>
      <c r="J76" s="11" t="s">
        <v>311</v>
      </c>
      <c r="K76" s="8" t="s">
        <v>23</v>
      </c>
      <c r="L76" s="24">
        <f>IF(Tabela1[[#This Row],[Minecraft Season Pass]]="Yes",1,0)</f>
        <v>0</v>
      </c>
      <c r="M76" s="11">
        <v>0</v>
      </c>
      <c r="N76" s="11">
        <v>2</v>
      </c>
      <c r="O76" s="11">
        <v>3</v>
      </c>
      <c r="P76" s="23">
        <f>IF(AND(Tabela1[[#This Row],[EA Play Season Pass]]="yes",Tabela1[[#This Row],[Minecraft Season Pass]]="Yes"), "1", "0")*1</f>
        <v>0</v>
      </c>
      <c r="Q76" s="23">
        <f>IF(AND(Tabela1[[#This Row],[EA Play Season Pass]]="No",Tabela1[[#This Row],[Minecraft Season Pass]]="No"), "1", "0")*1</f>
        <v>1</v>
      </c>
      <c r="R76" s="28">
        <f>IF(AND(Tabela1[[#This Row],[EA Play Season Pass]]="No",Tabela1[[#This Row],[Minecraft Season Pass]]="Yes"), "1", "0")*1</f>
        <v>0</v>
      </c>
      <c r="S76" s="28">
        <f>IF(AND(Tabela1[[#This Row],[EA Play Season Pass]]="Yes",Tabela1[[#This Row],[Minecraft Season Pass]]="No"), "1", "0")*1</f>
        <v>0</v>
      </c>
    </row>
    <row r="77" spans="1:19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24">
        <f>IF(Tabela1[[#This Row],[EA Play Season Pass]]="Yes",1,0)</f>
        <v>1</v>
      </c>
      <c r="J77" s="11">
        <v>30</v>
      </c>
      <c r="K77" s="8" t="s">
        <v>19</v>
      </c>
      <c r="L77" s="24">
        <f>IF(Tabela1[[#This Row],[Minecraft Season Pass]]="Yes",1,0)</f>
        <v>1</v>
      </c>
      <c r="M77" s="11">
        <v>20</v>
      </c>
      <c r="N77" s="11">
        <v>5</v>
      </c>
      <c r="O77" s="11">
        <v>60</v>
      </c>
      <c r="P77" s="23">
        <f>IF(AND(Tabela1[[#This Row],[EA Play Season Pass]]="yes",Tabela1[[#This Row],[Minecraft Season Pass]]="Yes"), "1", "0")*1</f>
        <v>1</v>
      </c>
      <c r="Q77" s="23">
        <f>IF(AND(Tabela1[[#This Row],[EA Play Season Pass]]="No",Tabela1[[#This Row],[Minecraft Season Pass]]="No"), "1", "0")*1</f>
        <v>0</v>
      </c>
      <c r="R77" s="28">
        <f>IF(AND(Tabela1[[#This Row],[EA Play Season Pass]]="No",Tabela1[[#This Row],[Minecraft Season Pass]]="Yes"), "1", "0")*1</f>
        <v>0</v>
      </c>
      <c r="S77" s="28">
        <f>IF(AND(Tabela1[[#This Row],[EA Play Season Pass]]="Yes",Tabela1[[#This Row],[Minecraft Season Pass]]="No"), "1", "0")*1</f>
        <v>0</v>
      </c>
    </row>
    <row r="78" spans="1:19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24">
        <f>IF(Tabela1[[#This Row],[EA Play Season Pass]]="Yes",1,0)</f>
        <v>0</v>
      </c>
      <c r="J78" s="11" t="s">
        <v>311</v>
      </c>
      <c r="K78" s="8" t="s">
        <v>19</v>
      </c>
      <c r="L78" s="24">
        <f>IF(Tabela1[[#This Row],[Minecraft Season Pass]]="Yes",1,0)</f>
        <v>1</v>
      </c>
      <c r="M78" s="11">
        <v>20</v>
      </c>
      <c r="N78" s="11">
        <v>10</v>
      </c>
      <c r="O78" s="11">
        <v>20</v>
      </c>
      <c r="P78" s="23">
        <f>IF(AND(Tabela1[[#This Row],[EA Play Season Pass]]="yes",Tabela1[[#This Row],[Minecraft Season Pass]]="Yes"), "1", "0")*1</f>
        <v>0</v>
      </c>
      <c r="Q78" s="23">
        <f>IF(AND(Tabela1[[#This Row],[EA Play Season Pass]]="No",Tabela1[[#This Row],[Minecraft Season Pass]]="No"), "1", "0")*1</f>
        <v>0</v>
      </c>
      <c r="R78" s="28">
        <f>IF(AND(Tabela1[[#This Row],[EA Play Season Pass]]="No",Tabela1[[#This Row],[Minecraft Season Pass]]="Yes"), "1", "0")*1</f>
        <v>1</v>
      </c>
      <c r="S78" s="28">
        <f>IF(AND(Tabela1[[#This Row],[EA Play Season Pass]]="Yes",Tabela1[[#This Row],[Minecraft Season Pass]]="No"), "1", "0")*1</f>
        <v>0</v>
      </c>
    </row>
    <row r="79" spans="1:19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24">
        <f>IF(Tabela1[[#This Row],[EA Play Season Pass]]="Yes",1,0)</f>
        <v>0</v>
      </c>
      <c r="J79" s="11" t="s">
        <v>311</v>
      </c>
      <c r="K79" s="8" t="s">
        <v>23</v>
      </c>
      <c r="L79" s="24">
        <f>IF(Tabela1[[#This Row],[Minecraft Season Pass]]="Yes",1,0)</f>
        <v>0</v>
      </c>
      <c r="M79" s="11">
        <v>0</v>
      </c>
      <c r="N79" s="11">
        <v>0</v>
      </c>
      <c r="O79" s="11">
        <v>5</v>
      </c>
      <c r="P79" s="23">
        <f>IF(AND(Tabela1[[#This Row],[EA Play Season Pass]]="yes",Tabela1[[#This Row],[Minecraft Season Pass]]="Yes"), "1", "0")*1</f>
        <v>0</v>
      </c>
      <c r="Q79" s="23">
        <f>IF(AND(Tabela1[[#This Row],[EA Play Season Pass]]="No",Tabela1[[#This Row],[Minecraft Season Pass]]="No"), "1", "0")*1</f>
        <v>1</v>
      </c>
      <c r="R79" s="28">
        <f>IF(AND(Tabela1[[#This Row],[EA Play Season Pass]]="No",Tabela1[[#This Row],[Minecraft Season Pass]]="Yes"), "1", "0")*1</f>
        <v>0</v>
      </c>
      <c r="S79" s="28">
        <f>IF(AND(Tabela1[[#This Row],[EA Play Season Pass]]="Yes",Tabela1[[#This Row],[Minecraft Season Pass]]="No"), "1", "0")*1</f>
        <v>0</v>
      </c>
    </row>
    <row r="80" spans="1:19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24">
        <f>IF(Tabela1[[#This Row],[EA Play Season Pass]]="Yes",1,0)</f>
        <v>1</v>
      </c>
      <c r="J80" s="11">
        <v>30</v>
      </c>
      <c r="K80" s="8" t="s">
        <v>19</v>
      </c>
      <c r="L80" s="24">
        <f>IF(Tabela1[[#This Row],[Minecraft Season Pass]]="Yes",1,0)</f>
        <v>1</v>
      </c>
      <c r="M80" s="11">
        <v>20</v>
      </c>
      <c r="N80" s="11">
        <v>3</v>
      </c>
      <c r="O80" s="11">
        <v>62</v>
      </c>
      <c r="P80" s="23">
        <f>IF(AND(Tabela1[[#This Row],[EA Play Season Pass]]="yes",Tabela1[[#This Row],[Minecraft Season Pass]]="Yes"), "1", "0")*1</f>
        <v>1</v>
      </c>
      <c r="Q80" s="23">
        <f>IF(AND(Tabela1[[#This Row],[EA Play Season Pass]]="No",Tabela1[[#This Row],[Minecraft Season Pass]]="No"), "1", "0")*1</f>
        <v>0</v>
      </c>
      <c r="R80" s="28">
        <f>IF(AND(Tabela1[[#This Row],[EA Play Season Pass]]="No",Tabela1[[#This Row],[Minecraft Season Pass]]="Yes"), "1", "0")*1</f>
        <v>0</v>
      </c>
      <c r="S80" s="28">
        <f>IF(AND(Tabela1[[#This Row],[EA Play Season Pass]]="Yes",Tabela1[[#This Row],[Minecraft Season Pass]]="No"), "1", "0")*1</f>
        <v>0</v>
      </c>
    </row>
    <row r="81" spans="1:19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24">
        <f>IF(Tabela1[[#This Row],[EA Play Season Pass]]="Yes",1,0)</f>
        <v>0</v>
      </c>
      <c r="J81" s="11" t="s">
        <v>311</v>
      </c>
      <c r="K81" s="8" t="s">
        <v>19</v>
      </c>
      <c r="L81" s="24">
        <f>IF(Tabela1[[#This Row],[Minecraft Season Pass]]="Yes",1,0)</f>
        <v>1</v>
      </c>
      <c r="M81" s="11">
        <v>20</v>
      </c>
      <c r="N81" s="11">
        <v>15</v>
      </c>
      <c r="O81" s="11">
        <v>15</v>
      </c>
      <c r="P81" s="23">
        <f>IF(AND(Tabela1[[#This Row],[EA Play Season Pass]]="yes",Tabela1[[#This Row],[Minecraft Season Pass]]="Yes"), "1", "0")*1</f>
        <v>0</v>
      </c>
      <c r="Q81" s="23">
        <f>IF(AND(Tabela1[[#This Row],[EA Play Season Pass]]="No",Tabela1[[#This Row],[Minecraft Season Pass]]="No"), "1", "0")*1</f>
        <v>0</v>
      </c>
      <c r="R81" s="28">
        <f>IF(AND(Tabela1[[#This Row],[EA Play Season Pass]]="No",Tabela1[[#This Row],[Minecraft Season Pass]]="Yes"), "1", "0")*1</f>
        <v>1</v>
      </c>
      <c r="S81" s="28">
        <f>IF(AND(Tabela1[[#This Row],[EA Play Season Pass]]="Yes",Tabela1[[#This Row],[Minecraft Season Pass]]="No"), "1", "0")*1</f>
        <v>0</v>
      </c>
    </row>
    <row r="82" spans="1:19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24">
        <f>IF(Tabela1[[#This Row],[EA Play Season Pass]]="Yes",1,0)</f>
        <v>0</v>
      </c>
      <c r="J82" s="11" t="s">
        <v>311</v>
      </c>
      <c r="K82" s="8" t="s">
        <v>23</v>
      </c>
      <c r="L82" s="24">
        <f>IF(Tabela1[[#This Row],[Minecraft Season Pass]]="Yes",1,0)</f>
        <v>0</v>
      </c>
      <c r="M82" s="11">
        <v>0</v>
      </c>
      <c r="N82" s="11">
        <v>1</v>
      </c>
      <c r="O82" s="11">
        <v>4</v>
      </c>
      <c r="P82" s="23">
        <f>IF(AND(Tabela1[[#This Row],[EA Play Season Pass]]="yes",Tabela1[[#This Row],[Minecraft Season Pass]]="Yes"), "1", "0")*1</f>
        <v>0</v>
      </c>
      <c r="Q82" s="23">
        <f>IF(AND(Tabela1[[#This Row],[EA Play Season Pass]]="No",Tabela1[[#This Row],[Minecraft Season Pass]]="No"), "1", "0")*1</f>
        <v>1</v>
      </c>
      <c r="R82" s="28">
        <f>IF(AND(Tabela1[[#This Row],[EA Play Season Pass]]="No",Tabela1[[#This Row],[Minecraft Season Pass]]="Yes"), "1", "0")*1</f>
        <v>0</v>
      </c>
      <c r="S82" s="28">
        <f>IF(AND(Tabela1[[#This Row],[EA Play Season Pass]]="Yes",Tabela1[[#This Row],[Minecraft Season Pass]]="No"), "1", "0")*1</f>
        <v>0</v>
      </c>
    </row>
    <row r="83" spans="1:19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24">
        <f>IF(Tabela1[[#This Row],[EA Play Season Pass]]="Yes",1,0)</f>
        <v>1</v>
      </c>
      <c r="J83" s="11">
        <v>30</v>
      </c>
      <c r="K83" s="8" t="s">
        <v>19</v>
      </c>
      <c r="L83" s="24">
        <f>IF(Tabela1[[#This Row],[Minecraft Season Pass]]="Yes",1,0)</f>
        <v>1</v>
      </c>
      <c r="M83" s="11">
        <v>20</v>
      </c>
      <c r="N83" s="11">
        <v>7</v>
      </c>
      <c r="O83" s="11">
        <v>58</v>
      </c>
      <c r="P83" s="23">
        <f>IF(AND(Tabela1[[#This Row],[EA Play Season Pass]]="yes",Tabela1[[#This Row],[Minecraft Season Pass]]="Yes"), "1", "0")*1</f>
        <v>1</v>
      </c>
      <c r="Q83" s="23">
        <f>IF(AND(Tabela1[[#This Row],[EA Play Season Pass]]="No",Tabela1[[#This Row],[Minecraft Season Pass]]="No"), "1", "0")*1</f>
        <v>0</v>
      </c>
      <c r="R83" s="28">
        <f>IF(AND(Tabela1[[#This Row],[EA Play Season Pass]]="No",Tabela1[[#This Row],[Minecraft Season Pass]]="Yes"), "1", "0")*1</f>
        <v>0</v>
      </c>
      <c r="S83" s="28">
        <f>IF(AND(Tabela1[[#This Row],[EA Play Season Pass]]="Yes",Tabela1[[#This Row],[Minecraft Season Pass]]="No"), "1", "0")*1</f>
        <v>0</v>
      </c>
    </row>
    <row r="84" spans="1:19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24">
        <f>IF(Tabela1[[#This Row],[EA Play Season Pass]]="Yes",1,0)</f>
        <v>0</v>
      </c>
      <c r="J84" s="11" t="s">
        <v>311</v>
      </c>
      <c r="K84" s="8" t="s">
        <v>19</v>
      </c>
      <c r="L84" s="24">
        <f>IF(Tabela1[[#This Row],[Minecraft Season Pass]]="Yes",1,0)</f>
        <v>1</v>
      </c>
      <c r="M84" s="11">
        <v>20</v>
      </c>
      <c r="N84" s="11">
        <v>10</v>
      </c>
      <c r="O84" s="11">
        <v>20</v>
      </c>
      <c r="P84" s="23">
        <f>IF(AND(Tabela1[[#This Row],[EA Play Season Pass]]="yes",Tabela1[[#This Row],[Minecraft Season Pass]]="Yes"), "1", "0")*1</f>
        <v>0</v>
      </c>
      <c r="Q84" s="23">
        <f>IF(AND(Tabela1[[#This Row],[EA Play Season Pass]]="No",Tabela1[[#This Row],[Minecraft Season Pass]]="No"), "1", "0")*1</f>
        <v>0</v>
      </c>
      <c r="R84" s="28">
        <f>IF(AND(Tabela1[[#This Row],[EA Play Season Pass]]="No",Tabela1[[#This Row],[Minecraft Season Pass]]="Yes"), "1", "0")*1</f>
        <v>1</v>
      </c>
      <c r="S84" s="28">
        <f>IF(AND(Tabela1[[#This Row],[EA Play Season Pass]]="Yes",Tabela1[[#This Row],[Minecraft Season Pass]]="No"), "1", "0")*1</f>
        <v>0</v>
      </c>
    </row>
    <row r="85" spans="1:19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24">
        <f>IF(Tabela1[[#This Row],[EA Play Season Pass]]="Yes",1,0)</f>
        <v>0</v>
      </c>
      <c r="J85" s="11" t="s">
        <v>311</v>
      </c>
      <c r="K85" s="8" t="s">
        <v>23</v>
      </c>
      <c r="L85" s="24">
        <f>IF(Tabela1[[#This Row],[Minecraft Season Pass]]="Yes",1,0)</f>
        <v>0</v>
      </c>
      <c r="M85" s="11">
        <v>0</v>
      </c>
      <c r="N85" s="11">
        <v>0</v>
      </c>
      <c r="O85" s="11">
        <v>5</v>
      </c>
      <c r="P85" s="23">
        <f>IF(AND(Tabela1[[#This Row],[EA Play Season Pass]]="yes",Tabela1[[#This Row],[Minecraft Season Pass]]="Yes"), "1", "0")*1</f>
        <v>0</v>
      </c>
      <c r="Q85" s="23">
        <f>IF(AND(Tabela1[[#This Row],[EA Play Season Pass]]="No",Tabela1[[#This Row],[Minecraft Season Pass]]="No"), "1", "0")*1</f>
        <v>1</v>
      </c>
      <c r="R85" s="28">
        <f>IF(AND(Tabela1[[#This Row],[EA Play Season Pass]]="No",Tabela1[[#This Row],[Minecraft Season Pass]]="Yes"), "1", "0")*1</f>
        <v>0</v>
      </c>
      <c r="S85" s="28">
        <f>IF(AND(Tabela1[[#This Row],[EA Play Season Pass]]="Yes",Tabela1[[#This Row],[Minecraft Season Pass]]="No"), "1", "0")*1</f>
        <v>0</v>
      </c>
    </row>
    <row r="86" spans="1:19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24">
        <f>IF(Tabela1[[#This Row],[EA Play Season Pass]]="Yes",1,0)</f>
        <v>1</v>
      </c>
      <c r="J86" s="11">
        <v>30</v>
      </c>
      <c r="K86" s="8" t="s">
        <v>19</v>
      </c>
      <c r="L86" s="24">
        <f>IF(Tabela1[[#This Row],[Minecraft Season Pass]]="Yes",1,0)</f>
        <v>1</v>
      </c>
      <c r="M86" s="11">
        <v>20</v>
      </c>
      <c r="N86" s="11">
        <v>20</v>
      </c>
      <c r="O86" s="11">
        <v>45</v>
      </c>
      <c r="P86" s="23">
        <f>IF(AND(Tabela1[[#This Row],[EA Play Season Pass]]="yes",Tabela1[[#This Row],[Minecraft Season Pass]]="Yes"), "1", "0")*1</f>
        <v>1</v>
      </c>
      <c r="Q86" s="23">
        <f>IF(AND(Tabela1[[#This Row],[EA Play Season Pass]]="No",Tabela1[[#This Row],[Minecraft Season Pass]]="No"), "1", "0")*1</f>
        <v>0</v>
      </c>
      <c r="R86" s="28">
        <f>IF(AND(Tabela1[[#This Row],[EA Play Season Pass]]="No",Tabela1[[#This Row],[Minecraft Season Pass]]="Yes"), "1", "0")*1</f>
        <v>0</v>
      </c>
      <c r="S86" s="28">
        <f>IF(AND(Tabela1[[#This Row],[EA Play Season Pass]]="Yes",Tabela1[[#This Row],[Minecraft Season Pass]]="No"), "1", "0")*1</f>
        <v>0</v>
      </c>
    </row>
    <row r="87" spans="1:19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24">
        <f>IF(Tabela1[[#This Row],[EA Play Season Pass]]="Yes",1,0)</f>
        <v>0</v>
      </c>
      <c r="J87" s="11" t="s">
        <v>311</v>
      </c>
      <c r="K87" s="8" t="s">
        <v>19</v>
      </c>
      <c r="L87" s="24">
        <f>IF(Tabela1[[#This Row],[Minecraft Season Pass]]="Yes",1,0)</f>
        <v>1</v>
      </c>
      <c r="M87" s="11">
        <v>20</v>
      </c>
      <c r="N87" s="11">
        <v>15</v>
      </c>
      <c r="O87" s="11">
        <v>15</v>
      </c>
      <c r="P87" s="23">
        <f>IF(AND(Tabela1[[#This Row],[EA Play Season Pass]]="yes",Tabela1[[#This Row],[Minecraft Season Pass]]="Yes"), "1", "0")*1</f>
        <v>0</v>
      </c>
      <c r="Q87" s="23">
        <f>IF(AND(Tabela1[[#This Row],[EA Play Season Pass]]="No",Tabela1[[#This Row],[Minecraft Season Pass]]="No"), "1", "0")*1</f>
        <v>0</v>
      </c>
      <c r="R87" s="28">
        <f>IF(AND(Tabela1[[#This Row],[EA Play Season Pass]]="No",Tabela1[[#This Row],[Minecraft Season Pass]]="Yes"), "1", "0")*1</f>
        <v>1</v>
      </c>
      <c r="S87" s="28">
        <f>IF(AND(Tabela1[[#This Row],[EA Play Season Pass]]="Yes",Tabela1[[#This Row],[Minecraft Season Pass]]="No"), "1", "0")*1</f>
        <v>0</v>
      </c>
    </row>
    <row r="88" spans="1:19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24">
        <f>IF(Tabela1[[#This Row],[EA Play Season Pass]]="Yes",1,0)</f>
        <v>0</v>
      </c>
      <c r="J88" s="11" t="s">
        <v>311</v>
      </c>
      <c r="K88" s="8" t="s">
        <v>23</v>
      </c>
      <c r="L88" s="24">
        <f>IF(Tabela1[[#This Row],[Minecraft Season Pass]]="Yes",1,0)</f>
        <v>0</v>
      </c>
      <c r="M88" s="11">
        <v>0</v>
      </c>
      <c r="N88" s="11">
        <v>1</v>
      </c>
      <c r="O88" s="11">
        <v>4</v>
      </c>
      <c r="P88" s="23">
        <f>IF(AND(Tabela1[[#This Row],[EA Play Season Pass]]="yes",Tabela1[[#This Row],[Minecraft Season Pass]]="Yes"), "1", "0")*1</f>
        <v>0</v>
      </c>
      <c r="Q88" s="23">
        <f>IF(AND(Tabela1[[#This Row],[EA Play Season Pass]]="No",Tabela1[[#This Row],[Minecraft Season Pass]]="No"), "1", "0")*1</f>
        <v>1</v>
      </c>
      <c r="R88" s="28">
        <f>IF(AND(Tabela1[[#This Row],[EA Play Season Pass]]="No",Tabela1[[#This Row],[Minecraft Season Pass]]="Yes"), "1", "0")*1</f>
        <v>0</v>
      </c>
      <c r="S88" s="28">
        <f>IF(AND(Tabela1[[#This Row],[EA Play Season Pass]]="Yes",Tabela1[[#This Row],[Minecraft Season Pass]]="No"), "1", "0")*1</f>
        <v>0</v>
      </c>
    </row>
    <row r="89" spans="1:19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24">
        <f>IF(Tabela1[[#This Row],[EA Play Season Pass]]="Yes",1,0)</f>
        <v>1</v>
      </c>
      <c r="J89" s="11">
        <v>30</v>
      </c>
      <c r="K89" s="8" t="s">
        <v>19</v>
      </c>
      <c r="L89" s="24">
        <f>IF(Tabela1[[#This Row],[Minecraft Season Pass]]="Yes",1,0)</f>
        <v>1</v>
      </c>
      <c r="M89" s="11">
        <v>20</v>
      </c>
      <c r="N89" s="11">
        <v>3</v>
      </c>
      <c r="O89" s="11">
        <v>62</v>
      </c>
      <c r="P89" s="23">
        <f>IF(AND(Tabela1[[#This Row],[EA Play Season Pass]]="yes",Tabela1[[#This Row],[Minecraft Season Pass]]="Yes"), "1", "0")*1</f>
        <v>1</v>
      </c>
      <c r="Q89" s="23">
        <f>IF(AND(Tabela1[[#This Row],[EA Play Season Pass]]="No",Tabela1[[#This Row],[Minecraft Season Pass]]="No"), "1", "0")*1</f>
        <v>0</v>
      </c>
      <c r="R89" s="28">
        <f>IF(AND(Tabela1[[#This Row],[EA Play Season Pass]]="No",Tabela1[[#This Row],[Minecraft Season Pass]]="Yes"), "1", "0")*1</f>
        <v>0</v>
      </c>
      <c r="S89" s="28">
        <f>IF(AND(Tabela1[[#This Row],[EA Play Season Pass]]="Yes",Tabela1[[#This Row],[Minecraft Season Pass]]="No"), "1", "0")*1</f>
        <v>0</v>
      </c>
    </row>
    <row r="90" spans="1:19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24">
        <f>IF(Tabela1[[#This Row],[EA Play Season Pass]]="Yes",1,0)</f>
        <v>0</v>
      </c>
      <c r="J90" s="11" t="s">
        <v>311</v>
      </c>
      <c r="K90" s="8" t="s">
        <v>19</v>
      </c>
      <c r="L90" s="24">
        <f>IF(Tabela1[[#This Row],[Minecraft Season Pass]]="Yes",1,0)</f>
        <v>1</v>
      </c>
      <c r="M90" s="11">
        <v>20</v>
      </c>
      <c r="N90" s="11">
        <v>10</v>
      </c>
      <c r="O90" s="11">
        <v>20</v>
      </c>
      <c r="P90" s="23">
        <f>IF(AND(Tabela1[[#This Row],[EA Play Season Pass]]="yes",Tabela1[[#This Row],[Minecraft Season Pass]]="Yes"), "1", "0")*1</f>
        <v>0</v>
      </c>
      <c r="Q90" s="23">
        <f>IF(AND(Tabela1[[#This Row],[EA Play Season Pass]]="No",Tabela1[[#This Row],[Minecraft Season Pass]]="No"), "1", "0")*1</f>
        <v>0</v>
      </c>
      <c r="R90" s="28">
        <f>IF(AND(Tabela1[[#This Row],[EA Play Season Pass]]="No",Tabela1[[#This Row],[Minecraft Season Pass]]="Yes"), "1", "0")*1</f>
        <v>1</v>
      </c>
      <c r="S90" s="28">
        <f>IF(AND(Tabela1[[#This Row],[EA Play Season Pass]]="Yes",Tabela1[[#This Row],[Minecraft Season Pass]]="No"), "1", "0")*1</f>
        <v>0</v>
      </c>
    </row>
    <row r="91" spans="1:19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24">
        <f>IF(Tabela1[[#This Row],[EA Play Season Pass]]="Yes",1,0)</f>
        <v>0</v>
      </c>
      <c r="J91" s="11" t="s">
        <v>311</v>
      </c>
      <c r="K91" s="8" t="s">
        <v>23</v>
      </c>
      <c r="L91" s="24">
        <f>IF(Tabela1[[#This Row],[Minecraft Season Pass]]="Yes",1,0)</f>
        <v>0</v>
      </c>
      <c r="M91" s="11">
        <v>0</v>
      </c>
      <c r="N91" s="11">
        <v>0</v>
      </c>
      <c r="O91" s="11">
        <v>5</v>
      </c>
      <c r="P91" s="23">
        <f>IF(AND(Tabela1[[#This Row],[EA Play Season Pass]]="yes",Tabela1[[#This Row],[Minecraft Season Pass]]="Yes"), "1", "0")*1</f>
        <v>0</v>
      </c>
      <c r="Q91" s="23">
        <f>IF(AND(Tabela1[[#This Row],[EA Play Season Pass]]="No",Tabela1[[#This Row],[Minecraft Season Pass]]="No"), "1", "0")*1</f>
        <v>1</v>
      </c>
      <c r="R91" s="28">
        <f>IF(AND(Tabela1[[#This Row],[EA Play Season Pass]]="No",Tabela1[[#This Row],[Minecraft Season Pass]]="Yes"), "1", "0")*1</f>
        <v>0</v>
      </c>
      <c r="S91" s="28">
        <f>IF(AND(Tabela1[[#This Row],[EA Play Season Pass]]="Yes",Tabela1[[#This Row],[Minecraft Season Pass]]="No"), "1", "0")*1</f>
        <v>0</v>
      </c>
    </row>
    <row r="92" spans="1:19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24">
        <f>IF(Tabela1[[#This Row],[EA Play Season Pass]]="Yes",1,0)</f>
        <v>1</v>
      </c>
      <c r="J92" s="11">
        <v>30</v>
      </c>
      <c r="K92" s="8" t="s">
        <v>19</v>
      </c>
      <c r="L92" s="24">
        <f>IF(Tabela1[[#This Row],[Minecraft Season Pass]]="Yes",1,0)</f>
        <v>1</v>
      </c>
      <c r="M92" s="11">
        <v>20</v>
      </c>
      <c r="N92" s="11">
        <v>5</v>
      </c>
      <c r="O92" s="11">
        <v>60</v>
      </c>
      <c r="P92" s="23">
        <f>IF(AND(Tabela1[[#This Row],[EA Play Season Pass]]="yes",Tabela1[[#This Row],[Minecraft Season Pass]]="Yes"), "1", "0")*1</f>
        <v>1</v>
      </c>
      <c r="Q92" s="23">
        <f>IF(AND(Tabela1[[#This Row],[EA Play Season Pass]]="No",Tabela1[[#This Row],[Minecraft Season Pass]]="No"), "1", "0")*1</f>
        <v>0</v>
      </c>
      <c r="R92" s="28">
        <f>IF(AND(Tabela1[[#This Row],[EA Play Season Pass]]="No",Tabela1[[#This Row],[Minecraft Season Pass]]="Yes"), "1", "0")*1</f>
        <v>0</v>
      </c>
      <c r="S92" s="28">
        <f>IF(AND(Tabela1[[#This Row],[EA Play Season Pass]]="Yes",Tabela1[[#This Row],[Minecraft Season Pass]]="No"), "1", "0")*1</f>
        <v>0</v>
      </c>
    </row>
    <row r="93" spans="1:19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24">
        <f>IF(Tabela1[[#This Row],[EA Play Season Pass]]="Yes",1,0)</f>
        <v>0</v>
      </c>
      <c r="J93" s="11" t="s">
        <v>311</v>
      </c>
      <c r="K93" s="8" t="s">
        <v>19</v>
      </c>
      <c r="L93" s="24">
        <f>IF(Tabela1[[#This Row],[Minecraft Season Pass]]="Yes",1,0)</f>
        <v>1</v>
      </c>
      <c r="M93" s="11">
        <v>20</v>
      </c>
      <c r="N93" s="11">
        <v>15</v>
      </c>
      <c r="O93" s="11">
        <v>15</v>
      </c>
      <c r="P93" s="23">
        <f>IF(AND(Tabela1[[#This Row],[EA Play Season Pass]]="yes",Tabela1[[#This Row],[Minecraft Season Pass]]="Yes"), "1", "0")*1</f>
        <v>0</v>
      </c>
      <c r="Q93" s="23">
        <f>IF(AND(Tabela1[[#This Row],[EA Play Season Pass]]="No",Tabela1[[#This Row],[Minecraft Season Pass]]="No"), "1", "0")*1</f>
        <v>0</v>
      </c>
      <c r="R93" s="28">
        <f>IF(AND(Tabela1[[#This Row],[EA Play Season Pass]]="No",Tabela1[[#This Row],[Minecraft Season Pass]]="Yes"), "1", "0")*1</f>
        <v>1</v>
      </c>
      <c r="S93" s="28">
        <f>IF(AND(Tabela1[[#This Row],[EA Play Season Pass]]="Yes",Tabela1[[#This Row],[Minecraft Season Pass]]="No"), "1", "0")*1</f>
        <v>0</v>
      </c>
    </row>
    <row r="94" spans="1:19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24">
        <f>IF(Tabela1[[#This Row],[EA Play Season Pass]]="Yes",1,0)</f>
        <v>0</v>
      </c>
      <c r="J94" s="11" t="s">
        <v>311</v>
      </c>
      <c r="K94" s="8" t="s">
        <v>23</v>
      </c>
      <c r="L94" s="24">
        <f>IF(Tabela1[[#This Row],[Minecraft Season Pass]]="Yes",1,0)</f>
        <v>0</v>
      </c>
      <c r="M94" s="11">
        <v>0</v>
      </c>
      <c r="N94" s="11">
        <v>1</v>
      </c>
      <c r="O94" s="11">
        <v>4</v>
      </c>
      <c r="P94" s="23">
        <f>IF(AND(Tabela1[[#This Row],[EA Play Season Pass]]="yes",Tabela1[[#This Row],[Minecraft Season Pass]]="Yes"), "1", "0")*1</f>
        <v>0</v>
      </c>
      <c r="Q94" s="23">
        <f>IF(AND(Tabela1[[#This Row],[EA Play Season Pass]]="No",Tabela1[[#This Row],[Minecraft Season Pass]]="No"), "1", "0")*1</f>
        <v>1</v>
      </c>
      <c r="R94" s="28">
        <f>IF(AND(Tabela1[[#This Row],[EA Play Season Pass]]="No",Tabela1[[#This Row],[Minecraft Season Pass]]="Yes"), "1", "0")*1</f>
        <v>0</v>
      </c>
      <c r="S94" s="28">
        <f>IF(AND(Tabela1[[#This Row],[EA Play Season Pass]]="Yes",Tabela1[[#This Row],[Minecraft Season Pass]]="No"), "1", "0")*1</f>
        <v>0</v>
      </c>
    </row>
    <row r="95" spans="1:19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24">
        <f>IF(Tabela1[[#This Row],[EA Play Season Pass]]="Yes",1,0)</f>
        <v>1</v>
      </c>
      <c r="J95" s="11">
        <v>30</v>
      </c>
      <c r="K95" s="8" t="s">
        <v>19</v>
      </c>
      <c r="L95" s="24">
        <f>IF(Tabela1[[#This Row],[Minecraft Season Pass]]="Yes",1,0)</f>
        <v>1</v>
      </c>
      <c r="M95" s="11">
        <v>20</v>
      </c>
      <c r="N95" s="11">
        <v>20</v>
      </c>
      <c r="O95" s="11">
        <v>45</v>
      </c>
      <c r="P95" s="23">
        <f>IF(AND(Tabela1[[#This Row],[EA Play Season Pass]]="yes",Tabela1[[#This Row],[Minecraft Season Pass]]="Yes"), "1", "0")*1</f>
        <v>1</v>
      </c>
      <c r="Q95" s="23">
        <f>IF(AND(Tabela1[[#This Row],[EA Play Season Pass]]="No",Tabela1[[#This Row],[Minecraft Season Pass]]="No"), "1", "0")*1</f>
        <v>0</v>
      </c>
      <c r="R95" s="28">
        <f>IF(AND(Tabela1[[#This Row],[EA Play Season Pass]]="No",Tabela1[[#This Row],[Minecraft Season Pass]]="Yes"), "1", "0")*1</f>
        <v>0</v>
      </c>
      <c r="S95" s="28">
        <f>IF(AND(Tabela1[[#This Row],[EA Play Season Pass]]="Yes",Tabela1[[#This Row],[Minecraft Season Pass]]="No"), "1", "0")*1</f>
        <v>0</v>
      </c>
    </row>
    <row r="96" spans="1:19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24">
        <f>IF(Tabela1[[#This Row],[EA Play Season Pass]]="Yes",1,0)</f>
        <v>0</v>
      </c>
      <c r="J96" s="11" t="s">
        <v>311</v>
      </c>
      <c r="K96" s="8" t="s">
        <v>19</v>
      </c>
      <c r="L96" s="24">
        <f>IF(Tabela1[[#This Row],[Minecraft Season Pass]]="Yes",1,0)</f>
        <v>1</v>
      </c>
      <c r="M96" s="11">
        <v>20</v>
      </c>
      <c r="N96" s="11">
        <v>15</v>
      </c>
      <c r="O96" s="11">
        <v>15</v>
      </c>
      <c r="P96" s="23">
        <f>IF(AND(Tabela1[[#This Row],[EA Play Season Pass]]="yes",Tabela1[[#This Row],[Minecraft Season Pass]]="Yes"), "1", "0")*1</f>
        <v>0</v>
      </c>
      <c r="Q96" s="23">
        <f>IF(AND(Tabela1[[#This Row],[EA Play Season Pass]]="No",Tabela1[[#This Row],[Minecraft Season Pass]]="No"), "1", "0")*1</f>
        <v>0</v>
      </c>
      <c r="R96" s="28">
        <f>IF(AND(Tabela1[[#This Row],[EA Play Season Pass]]="No",Tabela1[[#This Row],[Minecraft Season Pass]]="Yes"), "1", "0")*1</f>
        <v>1</v>
      </c>
      <c r="S96" s="28">
        <f>IF(AND(Tabela1[[#This Row],[EA Play Season Pass]]="Yes",Tabela1[[#This Row],[Minecraft Season Pass]]="No"), "1", "0")*1</f>
        <v>0</v>
      </c>
    </row>
    <row r="97" spans="1:19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24">
        <f>IF(Tabela1[[#This Row],[EA Play Season Pass]]="Yes",1,0)</f>
        <v>0</v>
      </c>
      <c r="J97" s="11" t="s">
        <v>311</v>
      </c>
      <c r="K97" s="8" t="s">
        <v>23</v>
      </c>
      <c r="L97" s="24">
        <f>IF(Tabela1[[#This Row],[Minecraft Season Pass]]="Yes",1,0)</f>
        <v>0</v>
      </c>
      <c r="M97" s="11">
        <v>0</v>
      </c>
      <c r="N97" s="11">
        <v>0</v>
      </c>
      <c r="O97" s="11">
        <v>5</v>
      </c>
      <c r="P97" s="23">
        <f>IF(AND(Tabela1[[#This Row],[EA Play Season Pass]]="yes",Tabela1[[#This Row],[Minecraft Season Pass]]="Yes"), "1", "0")*1</f>
        <v>0</v>
      </c>
      <c r="Q97" s="23">
        <f>IF(AND(Tabela1[[#This Row],[EA Play Season Pass]]="No",Tabela1[[#This Row],[Minecraft Season Pass]]="No"), "1", "0")*1</f>
        <v>1</v>
      </c>
      <c r="R97" s="28">
        <f>IF(AND(Tabela1[[#This Row],[EA Play Season Pass]]="No",Tabela1[[#This Row],[Minecraft Season Pass]]="Yes"), "1", "0")*1</f>
        <v>0</v>
      </c>
      <c r="S97" s="28">
        <f>IF(AND(Tabela1[[#This Row],[EA Play Season Pass]]="Yes",Tabela1[[#This Row],[Minecraft Season Pass]]="No"), "1", "0")*1</f>
        <v>0</v>
      </c>
    </row>
    <row r="98" spans="1:19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24">
        <f>IF(Tabela1[[#This Row],[EA Play Season Pass]]="Yes",1,0)</f>
        <v>1</v>
      </c>
      <c r="J98" s="11">
        <v>30</v>
      </c>
      <c r="K98" s="8" t="s">
        <v>19</v>
      </c>
      <c r="L98" s="24">
        <f>IF(Tabela1[[#This Row],[Minecraft Season Pass]]="Yes",1,0)</f>
        <v>1</v>
      </c>
      <c r="M98" s="11">
        <v>20</v>
      </c>
      <c r="N98" s="11">
        <v>7</v>
      </c>
      <c r="O98" s="11">
        <v>58</v>
      </c>
      <c r="P98" s="23">
        <f>IF(AND(Tabela1[[#This Row],[EA Play Season Pass]]="yes",Tabela1[[#This Row],[Minecraft Season Pass]]="Yes"), "1", "0")*1</f>
        <v>1</v>
      </c>
      <c r="Q98" s="23">
        <f>IF(AND(Tabela1[[#This Row],[EA Play Season Pass]]="No",Tabela1[[#This Row],[Minecraft Season Pass]]="No"), "1", "0")*1</f>
        <v>0</v>
      </c>
      <c r="R98" s="28">
        <f>IF(AND(Tabela1[[#This Row],[EA Play Season Pass]]="No",Tabela1[[#This Row],[Minecraft Season Pass]]="Yes"), "1", "0")*1</f>
        <v>0</v>
      </c>
      <c r="S98" s="28">
        <f>IF(AND(Tabela1[[#This Row],[EA Play Season Pass]]="Yes",Tabela1[[#This Row],[Minecraft Season Pass]]="No"), "1", "0")*1</f>
        <v>0</v>
      </c>
    </row>
    <row r="99" spans="1:19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24">
        <f>IF(Tabela1[[#This Row],[EA Play Season Pass]]="Yes",1,0)</f>
        <v>0</v>
      </c>
      <c r="J99" s="11" t="s">
        <v>311</v>
      </c>
      <c r="K99" s="8" t="s">
        <v>19</v>
      </c>
      <c r="L99" s="24">
        <f>IF(Tabela1[[#This Row],[Minecraft Season Pass]]="Yes",1,0)</f>
        <v>1</v>
      </c>
      <c r="M99" s="11">
        <v>20</v>
      </c>
      <c r="N99" s="11">
        <v>10</v>
      </c>
      <c r="O99" s="11">
        <v>20</v>
      </c>
      <c r="P99" s="23">
        <f>IF(AND(Tabela1[[#This Row],[EA Play Season Pass]]="yes",Tabela1[[#This Row],[Minecraft Season Pass]]="Yes"), "1", "0")*1</f>
        <v>0</v>
      </c>
      <c r="Q99" s="23">
        <f>IF(AND(Tabela1[[#This Row],[EA Play Season Pass]]="No",Tabela1[[#This Row],[Minecraft Season Pass]]="No"), "1", "0")*1</f>
        <v>0</v>
      </c>
      <c r="R99" s="28">
        <f>IF(AND(Tabela1[[#This Row],[EA Play Season Pass]]="No",Tabela1[[#This Row],[Minecraft Season Pass]]="Yes"), "1", "0")*1</f>
        <v>1</v>
      </c>
      <c r="S99" s="28">
        <f>IF(AND(Tabela1[[#This Row],[EA Play Season Pass]]="Yes",Tabela1[[#This Row],[Minecraft Season Pass]]="No"), "1", "0")*1</f>
        <v>0</v>
      </c>
    </row>
    <row r="100" spans="1:19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24">
        <f>IF(Tabela1[[#This Row],[EA Play Season Pass]]="Yes",1,0)</f>
        <v>0</v>
      </c>
      <c r="J100" s="11" t="s">
        <v>311</v>
      </c>
      <c r="K100" s="8" t="s">
        <v>23</v>
      </c>
      <c r="L100" s="24">
        <f>IF(Tabela1[[#This Row],[Minecraft Season Pass]]="Yes",1,0)</f>
        <v>0</v>
      </c>
      <c r="M100" s="11">
        <v>0</v>
      </c>
      <c r="N100" s="11">
        <v>1</v>
      </c>
      <c r="O100" s="11">
        <v>4</v>
      </c>
      <c r="P100" s="23">
        <f>IF(AND(Tabela1[[#This Row],[EA Play Season Pass]]="yes",Tabela1[[#This Row],[Minecraft Season Pass]]="Yes"), "1", "0")*1</f>
        <v>0</v>
      </c>
      <c r="Q100" s="23">
        <f>IF(AND(Tabela1[[#This Row],[EA Play Season Pass]]="No",Tabela1[[#This Row],[Minecraft Season Pass]]="No"), "1", "0")*1</f>
        <v>1</v>
      </c>
      <c r="R100" s="28">
        <f>IF(AND(Tabela1[[#This Row],[EA Play Season Pass]]="No",Tabela1[[#This Row],[Minecraft Season Pass]]="Yes"), "1", "0")*1</f>
        <v>0</v>
      </c>
      <c r="S100" s="28">
        <f>IF(AND(Tabela1[[#This Row],[EA Play Season Pass]]="Yes",Tabela1[[#This Row],[Minecraft Season Pass]]="No"), "1", "0")*1</f>
        <v>0</v>
      </c>
    </row>
    <row r="101" spans="1:19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24">
        <f>IF(Tabela1[[#This Row],[EA Play Season Pass]]="Yes",1,0)</f>
        <v>1</v>
      </c>
      <c r="J101" s="11">
        <v>30</v>
      </c>
      <c r="K101" s="8" t="s">
        <v>19</v>
      </c>
      <c r="L101" s="24">
        <f>IF(Tabela1[[#This Row],[Minecraft Season Pass]]="Yes",1,0)</f>
        <v>1</v>
      </c>
      <c r="M101" s="11">
        <v>20</v>
      </c>
      <c r="N101" s="11">
        <v>15</v>
      </c>
      <c r="O101" s="11">
        <v>50</v>
      </c>
      <c r="P101" s="23">
        <f>IF(AND(Tabela1[[#This Row],[EA Play Season Pass]]="yes",Tabela1[[#This Row],[Minecraft Season Pass]]="Yes"), "1", "0")*1</f>
        <v>1</v>
      </c>
      <c r="Q101" s="23">
        <f>IF(AND(Tabela1[[#This Row],[EA Play Season Pass]]="No",Tabela1[[#This Row],[Minecraft Season Pass]]="No"), "1", "0")*1</f>
        <v>0</v>
      </c>
      <c r="R101" s="28">
        <f>IF(AND(Tabela1[[#This Row],[EA Play Season Pass]]="No",Tabela1[[#This Row],[Minecraft Season Pass]]="Yes"), "1", "0")*1</f>
        <v>0</v>
      </c>
      <c r="S101" s="28">
        <f>IF(AND(Tabela1[[#This Row],[EA Play Season Pass]]="Yes",Tabela1[[#This Row],[Minecraft Season Pass]]="No"), "1", "0")*1</f>
        <v>0</v>
      </c>
    </row>
    <row r="102" spans="1:19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24">
        <f>IF(Tabela1[[#This Row],[EA Play Season Pass]]="Yes",1,0)</f>
        <v>0</v>
      </c>
      <c r="J102" s="11" t="s">
        <v>311</v>
      </c>
      <c r="K102" s="8" t="s">
        <v>19</v>
      </c>
      <c r="L102" s="24">
        <f>IF(Tabela1[[#This Row],[Minecraft Season Pass]]="Yes",1,0)</f>
        <v>1</v>
      </c>
      <c r="M102" s="11">
        <v>20</v>
      </c>
      <c r="N102" s="11">
        <v>5</v>
      </c>
      <c r="O102" s="11">
        <v>25</v>
      </c>
      <c r="P102" s="23">
        <f>IF(AND(Tabela1[[#This Row],[EA Play Season Pass]]="yes",Tabela1[[#This Row],[Minecraft Season Pass]]="Yes"), "1", "0")*1</f>
        <v>0</v>
      </c>
      <c r="Q102" s="23">
        <f>IF(AND(Tabela1[[#This Row],[EA Play Season Pass]]="No",Tabela1[[#This Row],[Minecraft Season Pass]]="No"), "1", "0")*1</f>
        <v>0</v>
      </c>
      <c r="R102" s="28">
        <f>IF(AND(Tabela1[[#This Row],[EA Play Season Pass]]="No",Tabela1[[#This Row],[Minecraft Season Pass]]="Yes"), "1", "0")*1</f>
        <v>1</v>
      </c>
      <c r="S102" s="28">
        <f>IF(AND(Tabela1[[#This Row],[EA Play Season Pass]]="Yes",Tabela1[[#This Row],[Minecraft Season Pass]]="No"), "1", "0")*1</f>
        <v>0</v>
      </c>
    </row>
    <row r="103" spans="1:19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24">
        <f>IF(Tabela1[[#This Row],[EA Play Season Pass]]="Yes",1,0)</f>
        <v>0</v>
      </c>
      <c r="J103" s="11" t="s">
        <v>311</v>
      </c>
      <c r="K103" s="8" t="s">
        <v>23</v>
      </c>
      <c r="L103" s="24">
        <f>IF(Tabela1[[#This Row],[Minecraft Season Pass]]="Yes",1,0)</f>
        <v>0</v>
      </c>
      <c r="M103" s="11">
        <v>0</v>
      </c>
      <c r="N103" s="11">
        <v>0</v>
      </c>
      <c r="O103" s="11">
        <v>5</v>
      </c>
      <c r="P103" s="23">
        <f>IF(AND(Tabela1[[#This Row],[EA Play Season Pass]]="yes",Tabela1[[#This Row],[Minecraft Season Pass]]="Yes"), "1", "0")*1</f>
        <v>0</v>
      </c>
      <c r="Q103" s="23">
        <f>IF(AND(Tabela1[[#This Row],[EA Play Season Pass]]="No",Tabela1[[#This Row],[Minecraft Season Pass]]="No"), "1", "0")*1</f>
        <v>1</v>
      </c>
      <c r="R103" s="28">
        <f>IF(AND(Tabela1[[#This Row],[EA Play Season Pass]]="No",Tabela1[[#This Row],[Minecraft Season Pass]]="Yes"), "1", "0")*1</f>
        <v>0</v>
      </c>
      <c r="S103" s="28">
        <f>IF(AND(Tabela1[[#This Row],[EA Play Season Pass]]="Yes",Tabela1[[#This Row],[Minecraft Season Pass]]="No"), "1", "0")*1</f>
        <v>0</v>
      </c>
    </row>
    <row r="104" spans="1:19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24">
        <f>IF(Tabela1[[#This Row],[EA Play Season Pass]]="Yes",1,0)</f>
        <v>1</v>
      </c>
      <c r="J104" s="11">
        <v>30</v>
      </c>
      <c r="K104" s="8" t="s">
        <v>19</v>
      </c>
      <c r="L104" s="24">
        <f>IF(Tabela1[[#This Row],[Minecraft Season Pass]]="Yes",1,0)</f>
        <v>1</v>
      </c>
      <c r="M104" s="11">
        <v>20</v>
      </c>
      <c r="N104" s="11">
        <v>20</v>
      </c>
      <c r="O104" s="11">
        <v>45</v>
      </c>
      <c r="P104" s="23">
        <f>IF(AND(Tabela1[[#This Row],[EA Play Season Pass]]="yes",Tabela1[[#This Row],[Minecraft Season Pass]]="Yes"), "1", "0")*1</f>
        <v>1</v>
      </c>
      <c r="Q104" s="23">
        <f>IF(AND(Tabela1[[#This Row],[EA Play Season Pass]]="No",Tabela1[[#This Row],[Minecraft Season Pass]]="No"), "1", "0")*1</f>
        <v>0</v>
      </c>
      <c r="R104" s="28">
        <f>IF(AND(Tabela1[[#This Row],[EA Play Season Pass]]="No",Tabela1[[#This Row],[Minecraft Season Pass]]="Yes"), "1", "0")*1</f>
        <v>0</v>
      </c>
      <c r="S104" s="28">
        <f>IF(AND(Tabela1[[#This Row],[EA Play Season Pass]]="Yes",Tabela1[[#This Row],[Minecraft Season Pass]]="No"), "1", "0")*1</f>
        <v>0</v>
      </c>
    </row>
    <row r="105" spans="1:19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24">
        <f>IF(Tabela1[[#This Row],[EA Play Season Pass]]="Yes",1,0)</f>
        <v>0</v>
      </c>
      <c r="J105" s="11" t="s">
        <v>311</v>
      </c>
      <c r="K105" s="8" t="s">
        <v>19</v>
      </c>
      <c r="L105" s="24">
        <f>IF(Tabela1[[#This Row],[Minecraft Season Pass]]="Yes",1,0)</f>
        <v>1</v>
      </c>
      <c r="M105" s="11">
        <v>20</v>
      </c>
      <c r="N105" s="11">
        <v>12</v>
      </c>
      <c r="O105" s="11">
        <v>18</v>
      </c>
      <c r="P105" s="23">
        <f>IF(AND(Tabela1[[#This Row],[EA Play Season Pass]]="yes",Tabela1[[#This Row],[Minecraft Season Pass]]="Yes"), "1", "0")*1</f>
        <v>0</v>
      </c>
      <c r="Q105" s="23">
        <f>IF(AND(Tabela1[[#This Row],[EA Play Season Pass]]="No",Tabela1[[#This Row],[Minecraft Season Pass]]="No"), "1", "0")*1</f>
        <v>0</v>
      </c>
      <c r="R105" s="28">
        <f>IF(AND(Tabela1[[#This Row],[EA Play Season Pass]]="No",Tabela1[[#This Row],[Minecraft Season Pass]]="Yes"), "1", "0")*1</f>
        <v>1</v>
      </c>
      <c r="S105" s="28">
        <f>IF(AND(Tabela1[[#This Row],[EA Play Season Pass]]="Yes",Tabela1[[#This Row],[Minecraft Season Pass]]="No"), "1", "0")*1</f>
        <v>0</v>
      </c>
    </row>
    <row r="106" spans="1:19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24">
        <f>IF(Tabela1[[#This Row],[EA Play Season Pass]]="Yes",1,0)</f>
        <v>0</v>
      </c>
      <c r="J106" s="11" t="s">
        <v>311</v>
      </c>
      <c r="K106" s="8" t="s">
        <v>23</v>
      </c>
      <c r="L106" s="24">
        <f>IF(Tabela1[[#This Row],[Minecraft Season Pass]]="Yes",1,0)</f>
        <v>0</v>
      </c>
      <c r="M106" s="11">
        <v>0</v>
      </c>
      <c r="N106" s="11">
        <v>2</v>
      </c>
      <c r="O106" s="11">
        <v>3</v>
      </c>
      <c r="P106" s="23">
        <f>IF(AND(Tabela1[[#This Row],[EA Play Season Pass]]="yes",Tabela1[[#This Row],[Minecraft Season Pass]]="Yes"), "1", "0")*1</f>
        <v>0</v>
      </c>
      <c r="Q106" s="23">
        <f>IF(AND(Tabela1[[#This Row],[EA Play Season Pass]]="No",Tabela1[[#This Row],[Minecraft Season Pass]]="No"), "1", "0")*1</f>
        <v>1</v>
      </c>
      <c r="R106" s="28">
        <f>IF(AND(Tabela1[[#This Row],[EA Play Season Pass]]="No",Tabela1[[#This Row],[Minecraft Season Pass]]="Yes"), "1", "0")*1</f>
        <v>0</v>
      </c>
      <c r="S106" s="28">
        <f>IF(AND(Tabela1[[#This Row],[EA Play Season Pass]]="Yes",Tabela1[[#This Row],[Minecraft Season Pass]]="No"), "1", "0")*1</f>
        <v>0</v>
      </c>
    </row>
    <row r="107" spans="1:19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24">
        <f>IF(Tabela1[[#This Row],[EA Play Season Pass]]="Yes",1,0)</f>
        <v>0</v>
      </c>
      <c r="J107" s="11" t="s">
        <v>311</v>
      </c>
      <c r="K107" s="8" t="s">
        <v>23</v>
      </c>
      <c r="L107" s="24">
        <f>IF(Tabela1[[#This Row],[Minecraft Season Pass]]="Yes",1,0)</f>
        <v>0</v>
      </c>
      <c r="M107" s="11">
        <v>0</v>
      </c>
      <c r="N107" s="11">
        <v>0</v>
      </c>
      <c r="O107" s="11">
        <v>5</v>
      </c>
      <c r="P107" s="23">
        <f>IF(AND(Tabela1[[#This Row],[EA Play Season Pass]]="yes",Tabela1[[#This Row],[Minecraft Season Pass]]="Yes"), "1", "0")*1</f>
        <v>0</v>
      </c>
      <c r="Q107" s="23">
        <f>IF(AND(Tabela1[[#This Row],[EA Play Season Pass]]="No",Tabela1[[#This Row],[Minecraft Season Pass]]="No"), "1", "0")*1</f>
        <v>1</v>
      </c>
      <c r="R107" s="28">
        <f>IF(AND(Tabela1[[#This Row],[EA Play Season Pass]]="No",Tabela1[[#This Row],[Minecraft Season Pass]]="Yes"), "1", "0")*1</f>
        <v>0</v>
      </c>
      <c r="S107" s="28">
        <f>IF(AND(Tabela1[[#This Row],[EA Play Season Pass]]="Yes",Tabela1[[#This Row],[Minecraft Season Pass]]="No"), "1", "0")*1</f>
        <v>0</v>
      </c>
    </row>
    <row r="108" spans="1:19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24">
        <f>IF(Tabela1[[#This Row],[EA Play Season Pass]]="Yes",1,0)</f>
        <v>1</v>
      </c>
      <c r="J108" s="11">
        <v>30</v>
      </c>
      <c r="K108" s="8" t="s">
        <v>19</v>
      </c>
      <c r="L108" s="24">
        <f>IF(Tabela1[[#This Row],[Minecraft Season Pass]]="Yes",1,0)</f>
        <v>1</v>
      </c>
      <c r="M108" s="11">
        <v>20</v>
      </c>
      <c r="N108" s="11">
        <v>7</v>
      </c>
      <c r="O108" s="11">
        <v>58</v>
      </c>
      <c r="P108" s="23">
        <f>IF(AND(Tabela1[[#This Row],[EA Play Season Pass]]="yes",Tabela1[[#This Row],[Minecraft Season Pass]]="Yes"), "1", "0")*1</f>
        <v>1</v>
      </c>
      <c r="Q108" s="23">
        <f>IF(AND(Tabela1[[#This Row],[EA Play Season Pass]]="No",Tabela1[[#This Row],[Minecraft Season Pass]]="No"), "1", "0")*1</f>
        <v>0</v>
      </c>
      <c r="R108" s="28">
        <f>IF(AND(Tabela1[[#This Row],[EA Play Season Pass]]="No",Tabela1[[#This Row],[Minecraft Season Pass]]="Yes"), "1", "0")*1</f>
        <v>0</v>
      </c>
      <c r="S108" s="28">
        <f>IF(AND(Tabela1[[#This Row],[EA Play Season Pass]]="Yes",Tabela1[[#This Row],[Minecraft Season Pass]]="No"), "1", "0")*1</f>
        <v>0</v>
      </c>
    </row>
    <row r="109" spans="1:19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24">
        <f>IF(Tabela1[[#This Row],[EA Play Season Pass]]="Yes",1,0)</f>
        <v>0</v>
      </c>
      <c r="J109" s="11" t="s">
        <v>311</v>
      </c>
      <c r="K109" s="8" t="s">
        <v>19</v>
      </c>
      <c r="L109" s="24">
        <f>IF(Tabela1[[#This Row],[Minecraft Season Pass]]="Yes",1,0)</f>
        <v>1</v>
      </c>
      <c r="M109" s="11">
        <v>20</v>
      </c>
      <c r="N109" s="11">
        <v>10</v>
      </c>
      <c r="O109" s="11">
        <v>20</v>
      </c>
      <c r="P109" s="23">
        <f>IF(AND(Tabela1[[#This Row],[EA Play Season Pass]]="yes",Tabela1[[#This Row],[Minecraft Season Pass]]="Yes"), "1", "0")*1</f>
        <v>0</v>
      </c>
      <c r="Q109" s="23">
        <f>IF(AND(Tabela1[[#This Row],[EA Play Season Pass]]="No",Tabela1[[#This Row],[Minecraft Season Pass]]="No"), "1", "0")*1</f>
        <v>0</v>
      </c>
      <c r="R109" s="28">
        <f>IF(AND(Tabela1[[#This Row],[EA Play Season Pass]]="No",Tabela1[[#This Row],[Minecraft Season Pass]]="Yes"), "1", "0")*1</f>
        <v>1</v>
      </c>
      <c r="S109" s="28">
        <f>IF(AND(Tabela1[[#This Row],[EA Play Season Pass]]="Yes",Tabela1[[#This Row],[Minecraft Season Pass]]="No"), "1", "0")*1</f>
        <v>0</v>
      </c>
    </row>
    <row r="110" spans="1:19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24">
        <f>IF(Tabela1[[#This Row],[EA Play Season Pass]]="Yes",1,0)</f>
        <v>0</v>
      </c>
      <c r="J110" s="11" t="s">
        <v>311</v>
      </c>
      <c r="K110" s="8" t="s">
        <v>23</v>
      </c>
      <c r="L110" s="24">
        <f>IF(Tabela1[[#This Row],[Minecraft Season Pass]]="Yes",1,0)</f>
        <v>0</v>
      </c>
      <c r="M110" s="11">
        <v>0</v>
      </c>
      <c r="N110" s="11">
        <v>1</v>
      </c>
      <c r="O110" s="11">
        <v>4</v>
      </c>
      <c r="P110" s="23">
        <f>IF(AND(Tabela1[[#This Row],[EA Play Season Pass]]="yes",Tabela1[[#This Row],[Minecraft Season Pass]]="Yes"), "1", "0")*1</f>
        <v>0</v>
      </c>
      <c r="Q110" s="23">
        <f>IF(AND(Tabela1[[#This Row],[EA Play Season Pass]]="No",Tabela1[[#This Row],[Minecraft Season Pass]]="No"), "1", "0")*1</f>
        <v>1</v>
      </c>
      <c r="R110" s="28">
        <f>IF(AND(Tabela1[[#This Row],[EA Play Season Pass]]="No",Tabela1[[#This Row],[Minecraft Season Pass]]="Yes"), "1", "0")*1</f>
        <v>0</v>
      </c>
      <c r="S110" s="28">
        <f>IF(AND(Tabela1[[#This Row],[EA Play Season Pass]]="Yes",Tabela1[[#This Row],[Minecraft Season Pass]]="No"), "1", "0")*1</f>
        <v>0</v>
      </c>
    </row>
    <row r="111" spans="1:19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24">
        <f>IF(Tabela1[[#This Row],[EA Play Season Pass]]="Yes",1,0)</f>
        <v>1</v>
      </c>
      <c r="J111" s="11">
        <v>30</v>
      </c>
      <c r="K111" s="8" t="s">
        <v>19</v>
      </c>
      <c r="L111" s="24">
        <f>IF(Tabela1[[#This Row],[Minecraft Season Pass]]="Yes",1,0)</f>
        <v>1</v>
      </c>
      <c r="M111" s="11">
        <v>20</v>
      </c>
      <c r="N111" s="11">
        <v>15</v>
      </c>
      <c r="O111" s="11">
        <v>50</v>
      </c>
      <c r="P111" s="23">
        <f>IF(AND(Tabela1[[#This Row],[EA Play Season Pass]]="yes",Tabela1[[#This Row],[Minecraft Season Pass]]="Yes"), "1", "0")*1</f>
        <v>1</v>
      </c>
      <c r="Q111" s="23">
        <f>IF(AND(Tabela1[[#This Row],[EA Play Season Pass]]="No",Tabela1[[#This Row],[Minecraft Season Pass]]="No"), "1", "0")*1</f>
        <v>0</v>
      </c>
      <c r="R111" s="28">
        <f>IF(AND(Tabela1[[#This Row],[EA Play Season Pass]]="No",Tabela1[[#This Row],[Minecraft Season Pass]]="Yes"), "1", "0")*1</f>
        <v>0</v>
      </c>
      <c r="S111" s="28">
        <f>IF(AND(Tabela1[[#This Row],[EA Play Season Pass]]="Yes",Tabela1[[#This Row],[Minecraft Season Pass]]="No"), "1", "0")*1</f>
        <v>0</v>
      </c>
    </row>
    <row r="112" spans="1:19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24">
        <f>IF(Tabela1[[#This Row],[EA Play Season Pass]]="Yes",1,0)</f>
        <v>0</v>
      </c>
      <c r="J112" s="11" t="s">
        <v>311</v>
      </c>
      <c r="K112" s="8" t="s">
        <v>19</v>
      </c>
      <c r="L112" s="24">
        <f>IF(Tabela1[[#This Row],[Minecraft Season Pass]]="Yes",1,0)</f>
        <v>1</v>
      </c>
      <c r="M112" s="11">
        <v>20</v>
      </c>
      <c r="N112" s="11">
        <v>5</v>
      </c>
      <c r="O112" s="11">
        <v>25</v>
      </c>
      <c r="P112" s="23">
        <f>IF(AND(Tabela1[[#This Row],[EA Play Season Pass]]="yes",Tabela1[[#This Row],[Minecraft Season Pass]]="Yes"), "1", "0")*1</f>
        <v>0</v>
      </c>
      <c r="Q112" s="23">
        <f>IF(AND(Tabela1[[#This Row],[EA Play Season Pass]]="No",Tabela1[[#This Row],[Minecraft Season Pass]]="No"), "1", "0")*1</f>
        <v>0</v>
      </c>
      <c r="R112" s="28">
        <f>IF(AND(Tabela1[[#This Row],[EA Play Season Pass]]="No",Tabela1[[#This Row],[Minecraft Season Pass]]="Yes"), "1", "0")*1</f>
        <v>1</v>
      </c>
      <c r="S112" s="28">
        <f>IF(AND(Tabela1[[#This Row],[EA Play Season Pass]]="Yes",Tabela1[[#This Row],[Minecraft Season Pass]]="No"), "1", "0")*1</f>
        <v>0</v>
      </c>
    </row>
    <row r="113" spans="1:19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24">
        <f>IF(Tabela1[[#This Row],[EA Play Season Pass]]="Yes",1,0)</f>
        <v>0</v>
      </c>
      <c r="J113" s="11" t="s">
        <v>311</v>
      </c>
      <c r="K113" s="8" t="s">
        <v>23</v>
      </c>
      <c r="L113" s="24">
        <f>IF(Tabela1[[#This Row],[Minecraft Season Pass]]="Yes",1,0)</f>
        <v>0</v>
      </c>
      <c r="M113" s="11">
        <v>0</v>
      </c>
      <c r="N113" s="11">
        <v>0</v>
      </c>
      <c r="O113" s="11">
        <v>5</v>
      </c>
      <c r="P113" s="23">
        <f>IF(AND(Tabela1[[#This Row],[EA Play Season Pass]]="yes",Tabela1[[#This Row],[Minecraft Season Pass]]="Yes"), "1", "0")*1</f>
        <v>0</v>
      </c>
      <c r="Q113" s="23">
        <f>IF(AND(Tabela1[[#This Row],[EA Play Season Pass]]="No",Tabela1[[#This Row],[Minecraft Season Pass]]="No"), "1", "0")*1</f>
        <v>1</v>
      </c>
      <c r="R113" s="28">
        <f>IF(AND(Tabela1[[#This Row],[EA Play Season Pass]]="No",Tabela1[[#This Row],[Minecraft Season Pass]]="Yes"), "1", "0")*1</f>
        <v>0</v>
      </c>
      <c r="S113" s="28">
        <f>IF(AND(Tabela1[[#This Row],[EA Play Season Pass]]="Yes",Tabela1[[#This Row],[Minecraft Season Pass]]="No"), "1", "0")*1</f>
        <v>0</v>
      </c>
    </row>
    <row r="114" spans="1:19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24">
        <f>IF(Tabela1[[#This Row],[EA Play Season Pass]]="Yes",1,0)</f>
        <v>1</v>
      </c>
      <c r="J114" s="11">
        <v>30</v>
      </c>
      <c r="K114" s="8" t="s">
        <v>19</v>
      </c>
      <c r="L114" s="24">
        <f>IF(Tabela1[[#This Row],[Minecraft Season Pass]]="Yes",1,0)</f>
        <v>1</v>
      </c>
      <c r="M114" s="11">
        <v>20</v>
      </c>
      <c r="N114" s="11">
        <v>20</v>
      </c>
      <c r="O114" s="11">
        <v>45</v>
      </c>
      <c r="P114" s="23">
        <f>IF(AND(Tabela1[[#This Row],[EA Play Season Pass]]="yes",Tabela1[[#This Row],[Minecraft Season Pass]]="Yes"), "1", "0")*1</f>
        <v>1</v>
      </c>
      <c r="Q114" s="23">
        <f>IF(AND(Tabela1[[#This Row],[EA Play Season Pass]]="No",Tabela1[[#This Row],[Minecraft Season Pass]]="No"), "1", "0")*1</f>
        <v>0</v>
      </c>
      <c r="R114" s="28">
        <f>IF(AND(Tabela1[[#This Row],[EA Play Season Pass]]="No",Tabela1[[#This Row],[Minecraft Season Pass]]="Yes"), "1", "0")*1</f>
        <v>0</v>
      </c>
      <c r="S114" s="28">
        <f>IF(AND(Tabela1[[#This Row],[EA Play Season Pass]]="Yes",Tabela1[[#This Row],[Minecraft Season Pass]]="No"), "1", "0")*1</f>
        <v>0</v>
      </c>
    </row>
    <row r="115" spans="1:19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24">
        <f>IF(Tabela1[[#This Row],[EA Play Season Pass]]="Yes",1,0)</f>
        <v>0</v>
      </c>
      <c r="J115" s="11" t="s">
        <v>311</v>
      </c>
      <c r="K115" s="8" t="s">
        <v>19</v>
      </c>
      <c r="L115" s="24">
        <f>IF(Tabela1[[#This Row],[Minecraft Season Pass]]="Yes",1,0)</f>
        <v>1</v>
      </c>
      <c r="M115" s="11">
        <v>20</v>
      </c>
      <c r="N115" s="11">
        <v>12</v>
      </c>
      <c r="O115" s="11">
        <v>18</v>
      </c>
      <c r="P115" s="23">
        <f>IF(AND(Tabela1[[#This Row],[EA Play Season Pass]]="yes",Tabela1[[#This Row],[Minecraft Season Pass]]="Yes"), "1", "0")*1</f>
        <v>0</v>
      </c>
      <c r="Q115" s="23">
        <f>IF(AND(Tabela1[[#This Row],[EA Play Season Pass]]="No",Tabela1[[#This Row],[Minecraft Season Pass]]="No"), "1", "0")*1</f>
        <v>0</v>
      </c>
      <c r="R115" s="28">
        <f>IF(AND(Tabela1[[#This Row],[EA Play Season Pass]]="No",Tabela1[[#This Row],[Minecraft Season Pass]]="Yes"), "1", "0")*1</f>
        <v>1</v>
      </c>
      <c r="S115" s="28">
        <f>IF(AND(Tabela1[[#This Row],[EA Play Season Pass]]="Yes",Tabela1[[#This Row],[Minecraft Season Pass]]="No"), "1", "0")*1</f>
        <v>0</v>
      </c>
    </row>
    <row r="116" spans="1:19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24">
        <f>IF(Tabela1[[#This Row],[EA Play Season Pass]]="Yes",1,0)</f>
        <v>0</v>
      </c>
      <c r="J116" s="11" t="s">
        <v>311</v>
      </c>
      <c r="K116" s="8" t="s">
        <v>23</v>
      </c>
      <c r="L116" s="24">
        <f>IF(Tabela1[[#This Row],[Minecraft Season Pass]]="Yes",1,0)</f>
        <v>0</v>
      </c>
      <c r="M116" s="11">
        <v>0</v>
      </c>
      <c r="N116" s="11">
        <v>2</v>
      </c>
      <c r="O116" s="11">
        <v>3</v>
      </c>
      <c r="P116" s="23">
        <f>IF(AND(Tabela1[[#This Row],[EA Play Season Pass]]="yes",Tabela1[[#This Row],[Minecraft Season Pass]]="Yes"), "1", "0")*1</f>
        <v>0</v>
      </c>
      <c r="Q116" s="23">
        <f>IF(AND(Tabela1[[#This Row],[EA Play Season Pass]]="No",Tabela1[[#This Row],[Minecraft Season Pass]]="No"), "1", "0")*1</f>
        <v>1</v>
      </c>
      <c r="R116" s="28">
        <f>IF(AND(Tabela1[[#This Row],[EA Play Season Pass]]="No",Tabela1[[#This Row],[Minecraft Season Pass]]="Yes"), "1", "0")*1</f>
        <v>0</v>
      </c>
      <c r="S116" s="28">
        <f>IF(AND(Tabela1[[#This Row],[EA Play Season Pass]]="Yes",Tabela1[[#This Row],[Minecraft Season Pass]]="No"), "1", "0")*1</f>
        <v>0</v>
      </c>
    </row>
    <row r="117" spans="1:19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24">
        <f>IF(Tabela1[[#This Row],[EA Play Season Pass]]="Yes",1,0)</f>
        <v>1</v>
      </c>
      <c r="J117" s="11">
        <v>30</v>
      </c>
      <c r="K117" s="8" t="s">
        <v>19</v>
      </c>
      <c r="L117" s="24">
        <f>IF(Tabela1[[#This Row],[Minecraft Season Pass]]="Yes",1,0)</f>
        <v>1</v>
      </c>
      <c r="M117" s="11">
        <v>20</v>
      </c>
      <c r="N117" s="11">
        <v>5</v>
      </c>
      <c r="O117" s="11">
        <v>60</v>
      </c>
      <c r="P117" s="23">
        <f>IF(AND(Tabela1[[#This Row],[EA Play Season Pass]]="yes",Tabela1[[#This Row],[Minecraft Season Pass]]="Yes"), "1", "0")*1</f>
        <v>1</v>
      </c>
      <c r="Q117" s="23">
        <f>IF(AND(Tabela1[[#This Row],[EA Play Season Pass]]="No",Tabela1[[#This Row],[Minecraft Season Pass]]="No"), "1", "0")*1</f>
        <v>0</v>
      </c>
      <c r="R117" s="28">
        <f>IF(AND(Tabela1[[#This Row],[EA Play Season Pass]]="No",Tabela1[[#This Row],[Minecraft Season Pass]]="Yes"), "1", "0")*1</f>
        <v>0</v>
      </c>
      <c r="S117" s="28">
        <f>IF(AND(Tabela1[[#This Row],[EA Play Season Pass]]="Yes",Tabela1[[#This Row],[Minecraft Season Pass]]="No"), "1", "0")*1</f>
        <v>0</v>
      </c>
    </row>
    <row r="118" spans="1:19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24">
        <f>IF(Tabela1[[#This Row],[EA Play Season Pass]]="Yes",1,0)</f>
        <v>0</v>
      </c>
      <c r="J118" s="11" t="s">
        <v>311</v>
      </c>
      <c r="K118" s="8" t="s">
        <v>19</v>
      </c>
      <c r="L118" s="24">
        <f>IF(Tabela1[[#This Row],[Minecraft Season Pass]]="Yes",1,0)</f>
        <v>1</v>
      </c>
      <c r="M118" s="11">
        <v>20</v>
      </c>
      <c r="N118" s="11">
        <v>10</v>
      </c>
      <c r="O118" s="11">
        <v>20</v>
      </c>
      <c r="P118" s="23">
        <f>IF(AND(Tabela1[[#This Row],[EA Play Season Pass]]="yes",Tabela1[[#This Row],[Minecraft Season Pass]]="Yes"), "1", "0")*1</f>
        <v>0</v>
      </c>
      <c r="Q118" s="23">
        <f>IF(AND(Tabela1[[#This Row],[EA Play Season Pass]]="No",Tabela1[[#This Row],[Minecraft Season Pass]]="No"), "1", "0")*1</f>
        <v>0</v>
      </c>
      <c r="R118" s="28">
        <f>IF(AND(Tabela1[[#This Row],[EA Play Season Pass]]="No",Tabela1[[#This Row],[Minecraft Season Pass]]="Yes"), "1", "0")*1</f>
        <v>1</v>
      </c>
      <c r="S118" s="28">
        <f>IF(AND(Tabela1[[#This Row],[EA Play Season Pass]]="Yes",Tabela1[[#This Row],[Minecraft Season Pass]]="No"), "1", "0")*1</f>
        <v>0</v>
      </c>
    </row>
    <row r="119" spans="1:19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24">
        <f>IF(Tabela1[[#This Row],[EA Play Season Pass]]="Yes",1,0)</f>
        <v>0</v>
      </c>
      <c r="J119" s="11" t="s">
        <v>311</v>
      </c>
      <c r="K119" s="8" t="s">
        <v>23</v>
      </c>
      <c r="L119" s="24">
        <f>IF(Tabela1[[#This Row],[Minecraft Season Pass]]="Yes",1,0)</f>
        <v>0</v>
      </c>
      <c r="M119" s="11">
        <v>0</v>
      </c>
      <c r="N119" s="11">
        <v>0</v>
      </c>
      <c r="O119" s="11">
        <v>5</v>
      </c>
      <c r="P119" s="23">
        <f>IF(AND(Tabela1[[#This Row],[EA Play Season Pass]]="yes",Tabela1[[#This Row],[Minecraft Season Pass]]="Yes"), "1", "0")*1</f>
        <v>0</v>
      </c>
      <c r="Q119" s="23">
        <f>IF(AND(Tabela1[[#This Row],[EA Play Season Pass]]="No",Tabela1[[#This Row],[Minecraft Season Pass]]="No"), "1", "0")*1</f>
        <v>1</v>
      </c>
      <c r="R119" s="28">
        <f>IF(AND(Tabela1[[#This Row],[EA Play Season Pass]]="No",Tabela1[[#This Row],[Minecraft Season Pass]]="Yes"), "1", "0")*1</f>
        <v>0</v>
      </c>
      <c r="S119" s="28">
        <f>IF(AND(Tabela1[[#This Row],[EA Play Season Pass]]="Yes",Tabela1[[#This Row],[Minecraft Season Pass]]="No"), "1", "0")*1</f>
        <v>0</v>
      </c>
    </row>
    <row r="120" spans="1:19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24">
        <f>IF(Tabela1[[#This Row],[EA Play Season Pass]]="Yes",1,0)</f>
        <v>1</v>
      </c>
      <c r="J120" s="11">
        <v>30</v>
      </c>
      <c r="K120" s="8" t="s">
        <v>19</v>
      </c>
      <c r="L120" s="24">
        <f>IF(Tabela1[[#This Row],[Minecraft Season Pass]]="Yes",1,0)</f>
        <v>1</v>
      </c>
      <c r="M120" s="11">
        <v>20</v>
      </c>
      <c r="N120" s="11">
        <v>3</v>
      </c>
      <c r="O120" s="11">
        <v>62</v>
      </c>
      <c r="P120" s="23">
        <f>IF(AND(Tabela1[[#This Row],[EA Play Season Pass]]="yes",Tabela1[[#This Row],[Minecraft Season Pass]]="Yes"), "1", "0")*1</f>
        <v>1</v>
      </c>
      <c r="Q120" s="23">
        <f>IF(AND(Tabela1[[#This Row],[EA Play Season Pass]]="No",Tabela1[[#This Row],[Minecraft Season Pass]]="No"), "1", "0")*1</f>
        <v>0</v>
      </c>
      <c r="R120" s="28">
        <f>IF(AND(Tabela1[[#This Row],[EA Play Season Pass]]="No",Tabela1[[#This Row],[Minecraft Season Pass]]="Yes"), "1", "0")*1</f>
        <v>0</v>
      </c>
      <c r="S120" s="28">
        <f>IF(AND(Tabela1[[#This Row],[EA Play Season Pass]]="Yes",Tabela1[[#This Row],[Minecraft Season Pass]]="No"), "1", "0")*1</f>
        <v>0</v>
      </c>
    </row>
    <row r="121" spans="1:19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24">
        <f>IF(Tabela1[[#This Row],[EA Play Season Pass]]="Yes",1,0)</f>
        <v>0</v>
      </c>
      <c r="J121" s="11" t="s">
        <v>311</v>
      </c>
      <c r="K121" s="8" t="s">
        <v>19</v>
      </c>
      <c r="L121" s="24">
        <f>IF(Tabela1[[#This Row],[Minecraft Season Pass]]="Yes",1,0)</f>
        <v>1</v>
      </c>
      <c r="M121" s="11">
        <v>20</v>
      </c>
      <c r="N121" s="11">
        <v>15</v>
      </c>
      <c r="O121" s="11">
        <v>15</v>
      </c>
      <c r="P121" s="23">
        <f>IF(AND(Tabela1[[#This Row],[EA Play Season Pass]]="yes",Tabela1[[#This Row],[Minecraft Season Pass]]="Yes"), "1", "0")*1</f>
        <v>0</v>
      </c>
      <c r="Q121" s="23">
        <f>IF(AND(Tabela1[[#This Row],[EA Play Season Pass]]="No",Tabela1[[#This Row],[Minecraft Season Pass]]="No"), "1", "0")*1</f>
        <v>0</v>
      </c>
      <c r="R121" s="28">
        <f>IF(AND(Tabela1[[#This Row],[EA Play Season Pass]]="No",Tabela1[[#This Row],[Minecraft Season Pass]]="Yes"), "1", "0")*1</f>
        <v>1</v>
      </c>
      <c r="S121" s="28">
        <f>IF(AND(Tabela1[[#This Row],[EA Play Season Pass]]="Yes",Tabela1[[#This Row],[Minecraft Season Pass]]="No"), "1", "0")*1</f>
        <v>0</v>
      </c>
    </row>
    <row r="122" spans="1:19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24">
        <f>IF(Tabela1[[#This Row],[EA Play Season Pass]]="Yes",1,0)</f>
        <v>0</v>
      </c>
      <c r="J122" s="11" t="s">
        <v>311</v>
      </c>
      <c r="K122" s="8" t="s">
        <v>23</v>
      </c>
      <c r="L122" s="24">
        <f>IF(Tabela1[[#This Row],[Minecraft Season Pass]]="Yes",1,0)</f>
        <v>0</v>
      </c>
      <c r="M122" s="11">
        <v>0</v>
      </c>
      <c r="N122" s="11">
        <v>1</v>
      </c>
      <c r="O122" s="11">
        <v>4</v>
      </c>
      <c r="P122" s="23">
        <f>IF(AND(Tabela1[[#This Row],[EA Play Season Pass]]="yes",Tabela1[[#This Row],[Minecraft Season Pass]]="Yes"), "1", "0")*1</f>
        <v>0</v>
      </c>
      <c r="Q122" s="23">
        <f>IF(AND(Tabela1[[#This Row],[EA Play Season Pass]]="No",Tabela1[[#This Row],[Minecraft Season Pass]]="No"), "1", "0")*1</f>
        <v>1</v>
      </c>
      <c r="R122" s="28">
        <f>IF(AND(Tabela1[[#This Row],[EA Play Season Pass]]="No",Tabela1[[#This Row],[Minecraft Season Pass]]="Yes"), "1", "0")*1</f>
        <v>0</v>
      </c>
      <c r="S122" s="28">
        <f>IF(AND(Tabela1[[#This Row],[EA Play Season Pass]]="Yes",Tabela1[[#This Row],[Minecraft Season Pass]]="No"), "1", "0")*1</f>
        <v>0</v>
      </c>
    </row>
    <row r="123" spans="1:19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24">
        <f>IF(Tabela1[[#This Row],[EA Play Season Pass]]="Yes",1,0)</f>
        <v>1</v>
      </c>
      <c r="J123" s="11">
        <v>30</v>
      </c>
      <c r="K123" s="8" t="s">
        <v>19</v>
      </c>
      <c r="L123" s="24">
        <f>IF(Tabela1[[#This Row],[Minecraft Season Pass]]="Yes",1,0)</f>
        <v>1</v>
      </c>
      <c r="M123" s="11">
        <v>20</v>
      </c>
      <c r="N123" s="11">
        <v>7</v>
      </c>
      <c r="O123" s="11">
        <v>58</v>
      </c>
      <c r="P123" s="23">
        <f>IF(AND(Tabela1[[#This Row],[EA Play Season Pass]]="yes",Tabela1[[#This Row],[Minecraft Season Pass]]="Yes"), "1", "0")*1</f>
        <v>1</v>
      </c>
      <c r="Q123" s="23">
        <f>IF(AND(Tabela1[[#This Row],[EA Play Season Pass]]="No",Tabela1[[#This Row],[Minecraft Season Pass]]="No"), "1", "0")*1</f>
        <v>0</v>
      </c>
      <c r="R123" s="28">
        <f>IF(AND(Tabela1[[#This Row],[EA Play Season Pass]]="No",Tabela1[[#This Row],[Minecraft Season Pass]]="Yes"), "1", "0")*1</f>
        <v>0</v>
      </c>
      <c r="S123" s="28">
        <f>IF(AND(Tabela1[[#This Row],[EA Play Season Pass]]="Yes",Tabela1[[#This Row],[Minecraft Season Pass]]="No"), "1", "0")*1</f>
        <v>0</v>
      </c>
    </row>
    <row r="124" spans="1:19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24">
        <f>IF(Tabela1[[#This Row],[EA Play Season Pass]]="Yes",1,0)</f>
        <v>0</v>
      </c>
      <c r="J124" s="11" t="s">
        <v>311</v>
      </c>
      <c r="K124" s="8" t="s">
        <v>19</v>
      </c>
      <c r="L124" s="24">
        <f>IF(Tabela1[[#This Row],[Minecraft Season Pass]]="Yes",1,0)</f>
        <v>1</v>
      </c>
      <c r="M124" s="11">
        <v>20</v>
      </c>
      <c r="N124" s="11">
        <v>10</v>
      </c>
      <c r="O124" s="11">
        <v>20</v>
      </c>
      <c r="P124" s="23">
        <f>IF(AND(Tabela1[[#This Row],[EA Play Season Pass]]="yes",Tabela1[[#This Row],[Minecraft Season Pass]]="Yes"), "1", "0")*1</f>
        <v>0</v>
      </c>
      <c r="Q124" s="23">
        <f>IF(AND(Tabela1[[#This Row],[EA Play Season Pass]]="No",Tabela1[[#This Row],[Minecraft Season Pass]]="No"), "1", "0")*1</f>
        <v>0</v>
      </c>
      <c r="R124" s="28">
        <f>IF(AND(Tabela1[[#This Row],[EA Play Season Pass]]="No",Tabela1[[#This Row],[Minecraft Season Pass]]="Yes"), "1", "0")*1</f>
        <v>1</v>
      </c>
      <c r="S124" s="28">
        <f>IF(AND(Tabela1[[#This Row],[EA Play Season Pass]]="Yes",Tabela1[[#This Row],[Minecraft Season Pass]]="No"), "1", "0")*1</f>
        <v>0</v>
      </c>
    </row>
    <row r="125" spans="1:19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24">
        <f>IF(Tabela1[[#This Row],[EA Play Season Pass]]="Yes",1,0)</f>
        <v>0</v>
      </c>
      <c r="J125" s="11" t="s">
        <v>311</v>
      </c>
      <c r="K125" s="8" t="s">
        <v>23</v>
      </c>
      <c r="L125" s="24">
        <f>IF(Tabela1[[#This Row],[Minecraft Season Pass]]="Yes",1,0)</f>
        <v>0</v>
      </c>
      <c r="M125" s="11">
        <v>0</v>
      </c>
      <c r="N125" s="11">
        <v>0</v>
      </c>
      <c r="O125" s="11">
        <v>5</v>
      </c>
      <c r="P125" s="23">
        <f>IF(AND(Tabela1[[#This Row],[EA Play Season Pass]]="yes",Tabela1[[#This Row],[Minecraft Season Pass]]="Yes"), "1", "0")*1</f>
        <v>0</v>
      </c>
      <c r="Q125" s="23">
        <f>IF(AND(Tabela1[[#This Row],[EA Play Season Pass]]="No",Tabela1[[#This Row],[Minecraft Season Pass]]="No"), "1", "0")*1</f>
        <v>1</v>
      </c>
      <c r="R125" s="28">
        <f>IF(AND(Tabela1[[#This Row],[EA Play Season Pass]]="No",Tabela1[[#This Row],[Minecraft Season Pass]]="Yes"), "1", "0")*1</f>
        <v>0</v>
      </c>
      <c r="S125" s="28">
        <f>IF(AND(Tabela1[[#This Row],[EA Play Season Pass]]="Yes",Tabela1[[#This Row],[Minecraft Season Pass]]="No"), "1", "0")*1</f>
        <v>0</v>
      </c>
    </row>
    <row r="126" spans="1:19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24">
        <f>IF(Tabela1[[#This Row],[EA Play Season Pass]]="Yes",1,0)</f>
        <v>1</v>
      </c>
      <c r="J126" s="11">
        <v>30</v>
      </c>
      <c r="K126" s="8" t="s">
        <v>19</v>
      </c>
      <c r="L126" s="24">
        <f>IF(Tabela1[[#This Row],[Minecraft Season Pass]]="Yes",1,0)</f>
        <v>1</v>
      </c>
      <c r="M126" s="11">
        <v>20</v>
      </c>
      <c r="N126" s="11">
        <v>20</v>
      </c>
      <c r="O126" s="11">
        <v>45</v>
      </c>
      <c r="P126" s="23">
        <f>IF(AND(Tabela1[[#This Row],[EA Play Season Pass]]="yes",Tabela1[[#This Row],[Minecraft Season Pass]]="Yes"), "1", "0")*1</f>
        <v>1</v>
      </c>
      <c r="Q126" s="23">
        <f>IF(AND(Tabela1[[#This Row],[EA Play Season Pass]]="No",Tabela1[[#This Row],[Minecraft Season Pass]]="No"), "1", "0")*1</f>
        <v>0</v>
      </c>
      <c r="R126" s="28">
        <f>IF(AND(Tabela1[[#This Row],[EA Play Season Pass]]="No",Tabela1[[#This Row],[Minecraft Season Pass]]="Yes"), "1", "0")*1</f>
        <v>0</v>
      </c>
      <c r="S126" s="28">
        <f>IF(AND(Tabela1[[#This Row],[EA Play Season Pass]]="Yes",Tabela1[[#This Row],[Minecraft Season Pass]]="No"), "1", "0")*1</f>
        <v>0</v>
      </c>
    </row>
    <row r="127" spans="1:19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24">
        <f>IF(Tabela1[[#This Row],[EA Play Season Pass]]="Yes",1,0)</f>
        <v>0</v>
      </c>
      <c r="J127" s="11" t="s">
        <v>311</v>
      </c>
      <c r="K127" s="8" t="s">
        <v>19</v>
      </c>
      <c r="L127" s="24">
        <f>IF(Tabela1[[#This Row],[Minecraft Season Pass]]="Yes",1,0)</f>
        <v>1</v>
      </c>
      <c r="M127" s="11">
        <v>20</v>
      </c>
      <c r="N127" s="11">
        <v>15</v>
      </c>
      <c r="O127" s="11">
        <v>15</v>
      </c>
      <c r="P127" s="23">
        <f>IF(AND(Tabela1[[#This Row],[EA Play Season Pass]]="yes",Tabela1[[#This Row],[Minecraft Season Pass]]="Yes"), "1", "0")*1</f>
        <v>0</v>
      </c>
      <c r="Q127" s="23">
        <f>IF(AND(Tabela1[[#This Row],[EA Play Season Pass]]="No",Tabela1[[#This Row],[Minecraft Season Pass]]="No"), "1", "0")*1</f>
        <v>0</v>
      </c>
      <c r="R127" s="28">
        <f>IF(AND(Tabela1[[#This Row],[EA Play Season Pass]]="No",Tabela1[[#This Row],[Minecraft Season Pass]]="Yes"), "1", "0")*1</f>
        <v>1</v>
      </c>
      <c r="S127" s="28">
        <f>IF(AND(Tabela1[[#This Row],[EA Play Season Pass]]="Yes",Tabela1[[#This Row],[Minecraft Season Pass]]="No"), "1", "0")*1</f>
        <v>0</v>
      </c>
    </row>
    <row r="128" spans="1:19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24">
        <f>IF(Tabela1[[#This Row],[EA Play Season Pass]]="Yes",1,0)</f>
        <v>0</v>
      </c>
      <c r="J128" s="11" t="s">
        <v>311</v>
      </c>
      <c r="K128" s="8" t="s">
        <v>23</v>
      </c>
      <c r="L128" s="24">
        <f>IF(Tabela1[[#This Row],[Minecraft Season Pass]]="Yes",1,0)</f>
        <v>0</v>
      </c>
      <c r="M128" s="11">
        <v>0</v>
      </c>
      <c r="N128" s="11">
        <v>1</v>
      </c>
      <c r="O128" s="11">
        <v>4</v>
      </c>
      <c r="P128" s="23">
        <f>IF(AND(Tabela1[[#This Row],[EA Play Season Pass]]="yes",Tabela1[[#This Row],[Minecraft Season Pass]]="Yes"), "1", "0")*1</f>
        <v>0</v>
      </c>
      <c r="Q128" s="23">
        <f>IF(AND(Tabela1[[#This Row],[EA Play Season Pass]]="No",Tabela1[[#This Row],[Minecraft Season Pass]]="No"), "1", "0")*1</f>
        <v>1</v>
      </c>
      <c r="R128" s="28">
        <f>IF(AND(Tabela1[[#This Row],[EA Play Season Pass]]="No",Tabela1[[#This Row],[Minecraft Season Pass]]="Yes"), "1", "0")*1</f>
        <v>0</v>
      </c>
      <c r="S128" s="28">
        <f>IF(AND(Tabela1[[#This Row],[EA Play Season Pass]]="Yes",Tabela1[[#This Row],[Minecraft Season Pass]]="No"), "1", "0")*1</f>
        <v>0</v>
      </c>
    </row>
    <row r="129" spans="1:19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24">
        <f>IF(Tabela1[[#This Row],[EA Play Season Pass]]="Yes",1,0)</f>
        <v>1</v>
      </c>
      <c r="J129" s="11">
        <v>30</v>
      </c>
      <c r="K129" s="8" t="s">
        <v>19</v>
      </c>
      <c r="L129" s="24">
        <f>IF(Tabela1[[#This Row],[Minecraft Season Pass]]="Yes",1,0)</f>
        <v>1</v>
      </c>
      <c r="M129" s="11">
        <v>20</v>
      </c>
      <c r="N129" s="11">
        <v>3</v>
      </c>
      <c r="O129" s="11">
        <v>62</v>
      </c>
      <c r="P129" s="23">
        <f>IF(AND(Tabela1[[#This Row],[EA Play Season Pass]]="yes",Tabela1[[#This Row],[Minecraft Season Pass]]="Yes"), "1", "0")*1</f>
        <v>1</v>
      </c>
      <c r="Q129" s="23">
        <f>IF(AND(Tabela1[[#This Row],[EA Play Season Pass]]="No",Tabela1[[#This Row],[Minecraft Season Pass]]="No"), "1", "0")*1</f>
        <v>0</v>
      </c>
      <c r="R129" s="28">
        <f>IF(AND(Tabela1[[#This Row],[EA Play Season Pass]]="No",Tabela1[[#This Row],[Minecraft Season Pass]]="Yes"), "1", "0")*1</f>
        <v>0</v>
      </c>
      <c r="S129" s="28">
        <f>IF(AND(Tabela1[[#This Row],[EA Play Season Pass]]="Yes",Tabela1[[#This Row],[Minecraft Season Pass]]="No"), "1", "0")*1</f>
        <v>0</v>
      </c>
    </row>
    <row r="130" spans="1:19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24">
        <f>IF(Tabela1[[#This Row],[EA Play Season Pass]]="Yes",1,0)</f>
        <v>0</v>
      </c>
      <c r="J130" s="11" t="s">
        <v>311</v>
      </c>
      <c r="K130" s="8" t="s">
        <v>19</v>
      </c>
      <c r="L130" s="24">
        <f>IF(Tabela1[[#This Row],[Minecraft Season Pass]]="Yes",1,0)</f>
        <v>1</v>
      </c>
      <c r="M130" s="11">
        <v>20</v>
      </c>
      <c r="N130" s="11">
        <v>10</v>
      </c>
      <c r="O130" s="11">
        <v>20</v>
      </c>
      <c r="P130" s="23">
        <f>IF(AND(Tabela1[[#This Row],[EA Play Season Pass]]="yes",Tabela1[[#This Row],[Minecraft Season Pass]]="Yes"), "1", "0")*1</f>
        <v>0</v>
      </c>
      <c r="Q130" s="23">
        <f>IF(AND(Tabela1[[#This Row],[EA Play Season Pass]]="No",Tabela1[[#This Row],[Minecraft Season Pass]]="No"), "1", "0")*1</f>
        <v>0</v>
      </c>
      <c r="R130" s="28">
        <f>IF(AND(Tabela1[[#This Row],[EA Play Season Pass]]="No",Tabela1[[#This Row],[Minecraft Season Pass]]="Yes"), "1", "0")*1</f>
        <v>1</v>
      </c>
      <c r="S130" s="28">
        <f>IF(AND(Tabela1[[#This Row],[EA Play Season Pass]]="Yes",Tabela1[[#This Row],[Minecraft Season Pass]]="No"), "1", "0")*1</f>
        <v>0</v>
      </c>
    </row>
    <row r="131" spans="1:19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24">
        <f>IF(Tabela1[[#This Row],[EA Play Season Pass]]="Yes",1,0)</f>
        <v>0</v>
      </c>
      <c r="J131" s="11" t="s">
        <v>311</v>
      </c>
      <c r="K131" s="8" t="s">
        <v>23</v>
      </c>
      <c r="L131" s="24">
        <f>IF(Tabela1[[#This Row],[Minecraft Season Pass]]="Yes",1,0)</f>
        <v>0</v>
      </c>
      <c r="M131" s="11">
        <v>0</v>
      </c>
      <c r="N131" s="11">
        <v>0</v>
      </c>
      <c r="O131" s="11">
        <v>5</v>
      </c>
      <c r="P131" s="23">
        <f>IF(AND(Tabela1[[#This Row],[EA Play Season Pass]]="yes",Tabela1[[#This Row],[Minecraft Season Pass]]="Yes"), "1", "0")*1</f>
        <v>0</v>
      </c>
      <c r="Q131" s="23">
        <f>IF(AND(Tabela1[[#This Row],[EA Play Season Pass]]="No",Tabela1[[#This Row],[Minecraft Season Pass]]="No"), "1", "0")*1</f>
        <v>1</v>
      </c>
      <c r="R131" s="28">
        <f>IF(AND(Tabela1[[#This Row],[EA Play Season Pass]]="No",Tabela1[[#This Row],[Minecraft Season Pass]]="Yes"), "1", "0")*1</f>
        <v>0</v>
      </c>
      <c r="S131" s="28">
        <f>IF(AND(Tabela1[[#This Row],[EA Play Season Pass]]="Yes",Tabela1[[#This Row],[Minecraft Season Pass]]="No"), "1", "0")*1</f>
        <v>0</v>
      </c>
    </row>
    <row r="132" spans="1:19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24">
        <f>IF(Tabela1[[#This Row],[EA Play Season Pass]]="Yes",1,0)</f>
        <v>1</v>
      </c>
      <c r="J132" s="11">
        <v>30</v>
      </c>
      <c r="K132" s="8" t="s">
        <v>19</v>
      </c>
      <c r="L132" s="24">
        <f>IF(Tabela1[[#This Row],[Minecraft Season Pass]]="Yes",1,0)</f>
        <v>1</v>
      </c>
      <c r="M132" s="11">
        <v>20</v>
      </c>
      <c r="N132" s="11">
        <v>15</v>
      </c>
      <c r="O132" s="11">
        <v>50</v>
      </c>
      <c r="P132" s="23">
        <f>IF(AND(Tabela1[[#This Row],[EA Play Season Pass]]="yes",Tabela1[[#This Row],[Minecraft Season Pass]]="Yes"), "1", "0")*1</f>
        <v>1</v>
      </c>
      <c r="Q132" s="23">
        <f>IF(AND(Tabela1[[#This Row],[EA Play Season Pass]]="No",Tabela1[[#This Row],[Minecraft Season Pass]]="No"), "1", "0")*1</f>
        <v>0</v>
      </c>
      <c r="R132" s="28">
        <f>IF(AND(Tabela1[[#This Row],[EA Play Season Pass]]="No",Tabela1[[#This Row],[Minecraft Season Pass]]="Yes"), "1", "0")*1</f>
        <v>0</v>
      </c>
      <c r="S132" s="28">
        <f>IF(AND(Tabela1[[#This Row],[EA Play Season Pass]]="Yes",Tabela1[[#This Row],[Minecraft Season Pass]]="No"), "1", "0")*1</f>
        <v>0</v>
      </c>
    </row>
    <row r="133" spans="1:19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24">
        <f>IF(Tabela1[[#This Row],[EA Play Season Pass]]="Yes",1,0)</f>
        <v>0</v>
      </c>
      <c r="J133" s="11" t="s">
        <v>311</v>
      </c>
      <c r="K133" s="8" t="s">
        <v>19</v>
      </c>
      <c r="L133" s="24">
        <f>IF(Tabela1[[#This Row],[Minecraft Season Pass]]="Yes",1,0)</f>
        <v>1</v>
      </c>
      <c r="M133" s="11">
        <v>20</v>
      </c>
      <c r="N133" s="11">
        <v>15</v>
      </c>
      <c r="O133" s="11">
        <v>15</v>
      </c>
      <c r="P133" s="23">
        <f>IF(AND(Tabela1[[#This Row],[EA Play Season Pass]]="yes",Tabela1[[#This Row],[Minecraft Season Pass]]="Yes"), "1", "0")*1</f>
        <v>0</v>
      </c>
      <c r="Q133" s="23">
        <f>IF(AND(Tabela1[[#This Row],[EA Play Season Pass]]="No",Tabela1[[#This Row],[Minecraft Season Pass]]="No"), "1", "0")*1</f>
        <v>0</v>
      </c>
      <c r="R133" s="28">
        <f>IF(AND(Tabela1[[#This Row],[EA Play Season Pass]]="No",Tabela1[[#This Row],[Minecraft Season Pass]]="Yes"), "1", "0")*1</f>
        <v>1</v>
      </c>
      <c r="S133" s="28">
        <f>IF(AND(Tabela1[[#This Row],[EA Play Season Pass]]="Yes",Tabela1[[#This Row],[Minecraft Season Pass]]="No"), "1", "0")*1</f>
        <v>0</v>
      </c>
    </row>
    <row r="134" spans="1:19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24">
        <f>IF(Tabela1[[#This Row],[EA Play Season Pass]]="Yes",1,0)</f>
        <v>0</v>
      </c>
      <c r="J134" s="11" t="s">
        <v>311</v>
      </c>
      <c r="K134" s="8" t="s">
        <v>23</v>
      </c>
      <c r="L134" s="24">
        <f>IF(Tabela1[[#This Row],[Minecraft Season Pass]]="Yes",1,0)</f>
        <v>0</v>
      </c>
      <c r="M134" s="11">
        <v>0</v>
      </c>
      <c r="N134" s="11">
        <v>1</v>
      </c>
      <c r="O134" s="11">
        <v>4</v>
      </c>
      <c r="P134" s="23">
        <f>IF(AND(Tabela1[[#This Row],[EA Play Season Pass]]="yes",Tabela1[[#This Row],[Minecraft Season Pass]]="Yes"), "1", "0")*1</f>
        <v>0</v>
      </c>
      <c r="Q134" s="23">
        <f>IF(AND(Tabela1[[#This Row],[EA Play Season Pass]]="No",Tabela1[[#This Row],[Minecraft Season Pass]]="No"), "1", "0")*1</f>
        <v>1</v>
      </c>
      <c r="R134" s="28">
        <f>IF(AND(Tabela1[[#This Row],[EA Play Season Pass]]="No",Tabela1[[#This Row],[Minecraft Season Pass]]="Yes"), "1", "0")*1</f>
        <v>0</v>
      </c>
      <c r="S134" s="28">
        <f>IF(AND(Tabela1[[#This Row],[EA Play Season Pass]]="Yes",Tabela1[[#This Row],[Minecraft Season Pass]]="No"), "1", "0")*1</f>
        <v>0</v>
      </c>
    </row>
    <row r="135" spans="1:19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24">
        <f>IF(Tabela1[[#This Row],[EA Play Season Pass]]="Yes",1,0)</f>
        <v>1</v>
      </c>
      <c r="J135" s="11">
        <v>30</v>
      </c>
      <c r="K135" s="8" t="s">
        <v>19</v>
      </c>
      <c r="L135" s="24">
        <f>IF(Tabela1[[#This Row],[Minecraft Season Pass]]="Yes",1,0)</f>
        <v>1</v>
      </c>
      <c r="M135" s="11">
        <v>20</v>
      </c>
      <c r="N135" s="11">
        <v>7</v>
      </c>
      <c r="O135" s="11">
        <v>58</v>
      </c>
      <c r="P135" s="23">
        <f>IF(AND(Tabela1[[#This Row],[EA Play Season Pass]]="yes",Tabela1[[#This Row],[Minecraft Season Pass]]="Yes"), "1", "0")*1</f>
        <v>1</v>
      </c>
      <c r="Q135" s="23">
        <f>IF(AND(Tabela1[[#This Row],[EA Play Season Pass]]="No",Tabela1[[#This Row],[Minecraft Season Pass]]="No"), "1", "0")*1</f>
        <v>0</v>
      </c>
      <c r="R135" s="28">
        <f>IF(AND(Tabela1[[#This Row],[EA Play Season Pass]]="No",Tabela1[[#This Row],[Minecraft Season Pass]]="Yes"), "1", "0")*1</f>
        <v>0</v>
      </c>
      <c r="S135" s="28">
        <f>IF(AND(Tabela1[[#This Row],[EA Play Season Pass]]="Yes",Tabela1[[#This Row],[Minecraft Season Pass]]="No"), "1", "0")*1</f>
        <v>0</v>
      </c>
    </row>
    <row r="136" spans="1:19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24">
        <f>IF(Tabela1[[#This Row],[EA Play Season Pass]]="Yes",1,0)</f>
        <v>0</v>
      </c>
      <c r="J136" s="11" t="s">
        <v>311</v>
      </c>
      <c r="K136" s="8" t="s">
        <v>19</v>
      </c>
      <c r="L136" s="24">
        <f>IF(Tabela1[[#This Row],[Minecraft Season Pass]]="Yes",1,0)</f>
        <v>1</v>
      </c>
      <c r="M136" s="11">
        <v>20</v>
      </c>
      <c r="N136" s="11">
        <v>10</v>
      </c>
      <c r="O136" s="11">
        <v>20</v>
      </c>
      <c r="P136" s="23">
        <f>IF(AND(Tabela1[[#This Row],[EA Play Season Pass]]="yes",Tabela1[[#This Row],[Minecraft Season Pass]]="Yes"), "1", "0")*1</f>
        <v>0</v>
      </c>
      <c r="Q136" s="23">
        <f>IF(AND(Tabela1[[#This Row],[EA Play Season Pass]]="No",Tabela1[[#This Row],[Minecraft Season Pass]]="No"), "1", "0")*1</f>
        <v>0</v>
      </c>
      <c r="R136" s="28">
        <f>IF(AND(Tabela1[[#This Row],[EA Play Season Pass]]="No",Tabela1[[#This Row],[Minecraft Season Pass]]="Yes"), "1", "0")*1</f>
        <v>1</v>
      </c>
      <c r="S136" s="28">
        <f>IF(AND(Tabela1[[#This Row],[EA Play Season Pass]]="Yes",Tabela1[[#This Row],[Minecraft Season Pass]]="No"), "1", "0")*1</f>
        <v>0</v>
      </c>
    </row>
    <row r="137" spans="1:19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24">
        <f>IF(Tabela1[[#This Row],[EA Play Season Pass]]="Yes",1,0)</f>
        <v>0</v>
      </c>
      <c r="J137" s="11" t="s">
        <v>311</v>
      </c>
      <c r="K137" s="8" t="s">
        <v>23</v>
      </c>
      <c r="L137" s="24">
        <f>IF(Tabela1[[#This Row],[Minecraft Season Pass]]="Yes",1,0)</f>
        <v>0</v>
      </c>
      <c r="M137" s="11">
        <v>0</v>
      </c>
      <c r="N137" s="11">
        <v>0</v>
      </c>
      <c r="O137" s="11">
        <v>5</v>
      </c>
      <c r="P137" s="23">
        <f>IF(AND(Tabela1[[#This Row],[EA Play Season Pass]]="yes",Tabela1[[#This Row],[Minecraft Season Pass]]="Yes"), "1", "0")*1</f>
        <v>0</v>
      </c>
      <c r="Q137" s="23">
        <f>IF(AND(Tabela1[[#This Row],[EA Play Season Pass]]="No",Tabela1[[#This Row],[Minecraft Season Pass]]="No"), "1", "0")*1</f>
        <v>1</v>
      </c>
      <c r="R137" s="28">
        <f>IF(AND(Tabela1[[#This Row],[EA Play Season Pass]]="No",Tabela1[[#This Row],[Minecraft Season Pass]]="Yes"), "1", "0")*1</f>
        <v>0</v>
      </c>
      <c r="S137" s="28">
        <f>IF(AND(Tabela1[[#This Row],[EA Play Season Pass]]="Yes",Tabela1[[#This Row],[Minecraft Season Pass]]="No"), "1", "0")*1</f>
        <v>0</v>
      </c>
    </row>
    <row r="138" spans="1:19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24">
        <f>IF(Tabela1[[#This Row],[EA Play Season Pass]]="Yes",1,0)</f>
        <v>1</v>
      </c>
      <c r="J138" s="11">
        <v>30</v>
      </c>
      <c r="K138" s="8" t="s">
        <v>19</v>
      </c>
      <c r="L138" s="24">
        <f>IF(Tabela1[[#This Row],[Minecraft Season Pass]]="Yes",1,0)</f>
        <v>1</v>
      </c>
      <c r="M138" s="11">
        <v>20</v>
      </c>
      <c r="N138" s="11">
        <v>7</v>
      </c>
      <c r="O138" s="11">
        <v>58</v>
      </c>
      <c r="P138" s="23">
        <f>IF(AND(Tabela1[[#This Row],[EA Play Season Pass]]="yes",Tabela1[[#This Row],[Minecraft Season Pass]]="Yes"), "1", "0")*1</f>
        <v>1</v>
      </c>
      <c r="Q138" s="23">
        <f>IF(AND(Tabela1[[#This Row],[EA Play Season Pass]]="No",Tabela1[[#This Row],[Minecraft Season Pass]]="No"), "1", "0")*1</f>
        <v>0</v>
      </c>
      <c r="R138" s="28">
        <f>IF(AND(Tabela1[[#This Row],[EA Play Season Pass]]="No",Tabela1[[#This Row],[Minecraft Season Pass]]="Yes"), "1", "0")*1</f>
        <v>0</v>
      </c>
      <c r="S138" s="28">
        <f>IF(AND(Tabela1[[#This Row],[EA Play Season Pass]]="Yes",Tabela1[[#This Row],[Minecraft Season Pass]]="No"), "1", "0")*1</f>
        <v>0</v>
      </c>
    </row>
    <row r="139" spans="1:19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24">
        <f>IF(Tabela1[[#This Row],[EA Play Season Pass]]="Yes",1,0)</f>
        <v>0</v>
      </c>
      <c r="J139" s="11" t="s">
        <v>311</v>
      </c>
      <c r="K139" s="8" t="s">
        <v>19</v>
      </c>
      <c r="L139" s="24">
        <f>IF(Tabela1[[#This Row],[Minecraft Season Pass]]="Yes",1,0)</f>
        <v>1</v>
      </c>
      <c r="M139" s="11">
        <v>20</v>
      </c>
      <c r="N139" s="11">
        <v>10</v>
      </c>
      <c r="O139" s="11">
        <v>20</v>
      </c>
      <c r="P139" s="23">
        <f>IF(AND(Tabela1[[#This Row],[EA Play Season Pass]]="yes",Tabela1[[#This Row],[Minecraft Season Pass]]="Yes"), "1", "0")*1</f>
        <v>0</v>
      </c>
      <c r="Q139" s="23">
        <f>IF(AND(Tabela1[[#This Row],[EA Play Season Pass]]="No",Tabela1[[#This Row],[Minecraft Season Pass]]="No"), "1", "0")*1</f>
        <v>0</v>
      </c>
      <c r="R139" s="28">
        <f>IF(AND(Tabela1[[#This Row],[EA Play Season Pass]]="No",Tabela1[[#This Row],[Minecraft Season Pass]]="Yes"), "1", "0")*1</f>
        <v>1</v>
      </c>
      <c r="S139" s="28">
        <f>IF(AND(Tabela1[[#This Row],[EA Play Season Pass]]="Yes",Tabela1[[#This Row],[Minecraft Season Pass]]="No"), "1", "0")*1</f>
        <v>0</v>
      </c>
    </row>
    <row r="140" spans="1:19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24">
        <f>IF(Tabela1[[#This Row],[EA Play Season Pass]]="Yes",1,0)</f>
        <v>0</v>
      </c>
      <c r="J140" s="11" t="s">
        <v>311</v>
      </c>
      <c r="K140" s="8" t="s">
        <v>23</v>
      </c>
      <c r="L140" s="24">
        <f>IF(Tabela1[[#This Row],[Minecraft Season Pass]]="Yes",1,0)</f>
        <v>0</v>
      </c>
      <c r="M140" s="11">
        <v>0</v>
      </c>
      <c r="N140" s="11">
        <v>1</v>
      </c>
      <c r="O140" s="11">
        <v>4</v>
      </c>
      <c r="P140" s="23">
        <f>IF(AND(Tabela1[[#This Row],[EA Play Season Pass]]="yes",Tabela1[[#This Row],[Minecraft Season Pass]]="Yes"), "1", "0")*1</f>
        <v>0</v>
      </c>
      <c r="Q140" s="23">
        <f>IF(AND(Tabela1[[#This Row],[EA Play Season Pass]]="No",Tabela1[[#This Row],[Minecraft Season Pass]]="No"), "1", "0")*1</f>
        <v>1</v>
      </c>
      <c r="R140" s="28">
        <f>IF(AND(Tabela1[[#This Row],[EA Play Season Pass]]="No",Tabela1[[#This Row],[Minecraft Season Pass]]="Yes"), "1", "0")*1</f>
        <v>0</v>
      </c>
      <c r="S140" s="28">
        <f>IF(AND(Tabela1[[#This Row],[EA Play Season Pass]]="Yes",Tabela1[[#This Row],[Minecraft Season Pass]]="No"), "1", "0")*1</f>
        <v>0</v>
      </c>
    </row>
    <row r="141" spans="1:19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24">
        <f>IF(Tabela1[[#This Row],[EA Play Season Pass]]="Yes",1,0)</f>
        <v>1</v>
      </c>
      <c r="J141" s="11">
        <v>30</v>
      </c>
      <c r="K141" s="8" t="s">
        <v>19</v>
      </c>
      <c r="L141" s="24">
        <f>IF(Tabela1[[#This Row],[Minecraft Season Pass]]="Yes",1,0)</f>
        <v>1</v>
      </c>
      <c r="M141" s="11">
        <v>20</v>
      </c>
      <c r="N141" s="11">
        <v>15</v>
      </c>
      <c r="O141" s="11">
        <v>50</v>
      </c>
      <c r="P141" s="23">
        <f>IF(AND(Tabela1[[#This Row],[EA Play Season Pass]]="yes",Tabela1[[#This Row],[Minecraft Season Pass]]="Yes"), "1", "0")*1</f>
        <v>1</v>
      </c>
      <c r="Q141" s="23">
        <f>IF(AND(Tabela1[[#This Row],[EA Play Season Pass]]="No",Tabela1[[#This Row],[Minecraft Season Pass]]="No"), "1", "0")*1</f>
        <v>0</v>
      </c>
      <c r="R141" s="28">
        <f>IF(AND(Tabela1[[#This Row],[EA Play Season Pass]]="No",Tabela1[[#This Row],[Minecraft Season Pass]]="Yes"), "1", "0")*1</f>
        <v>0</v>
      </c>
      <c r="S141" s="28">
        <f>IF(AND(Tabela1[[#This Row],[EA Play Season Pass]]="Yes",Tabela1[[#This Row],[Minecraft Season Pass]]="No"), "1", "0")*1</f>
        <v>0</v>
      </c>
    </row>
    <row r="142" spans="1:19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24">
        <f>IF(Tabela1[[#This Row],[EA Play Season Pass]]="Yes",1,0)</f>
        <v>0</v>
      </c>
      <c r="J142" s="11" t="s">
        <v>311</v>
      </c>
      <c r="K142" s="8" t="s">
        <v>19</v>
      </c>
      <c r="L142" s="24">
        <f>IF(Tabela1[[#This Row],[Minecraft Season Pass]]="Yes",1,0)</f>
        <v>1</v>
      </c>
      <c r="M142" s="11">
        <v>20</v>
      </c>
      <c r="N142" s="11">
        <v>5</v>
      </c>
      <c r="O142" s="11">
        <v>25</v>
      </c>
      <c r="P142" s="23">
        <f>IF(AND(Tabela1[[#This Row],[EA Play Season Pass]]="yes",Tabela1[[#This Row],[Minecraft Season Pass]]="Yes"), "1", "0")*1</f>
        <v>0</v>
      </c>
      <c r="Q142" s="23">
        <f>IF(AND(Tabela1[[#This Row],[EA Play Season Pass]]="No",Tabela1[[#This Row],[Minecraft Season Pass]]="No"), "1", "0")*1</f>
        <v>0</v>
      </c>
      <c r="R142" s="28">
        <f>IF(AND(Tabela1[[#This Row],[EA Play Season Pass]]="No",Tabela1[[#This Row],[Minecraft Season Pass]]="Yes"), "1", "0")*1</f>
        <v>1</v>
      </c>
      <c r="S142" s="28">
        <f>IF(AND(Tabela1[[#This Row],[EA Play Season Pass]]="Yes",Tabela1[[#This Row],[Minecraft Season Pass]]="No"), "1", "0")*1</f>
        <v>0</v>
      </c>
    </row>
    <row r="143" spans="1:19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24">
        <f>IF(Tabela1[[#This Row],[EA Play Season Pass]]="Yes",1,0)</f>
        <v>0</v>
      </c>
      <c r="J143" s="11" t="s">
        <v>311</v>
      </c>
      <c r="K143" s="8" t="s">
        <v>23</v>
      </c>
      <c r="L143" s="24">
        <f>IF(Tabela1[[#This Row],[Minecraft Season Pass]]="Yes",1,0)</f>
        <v>0</v>
      </c>
      <c r="M143" s="11">
        <v>0</v>
      </c>
      <c r="N143" s="11">
        <v>0</v>
      </c>
      <c r="O143" s="11">
        <v>5</v>
      </c>
      <c r="P143" s="23">
        <f>IF(AND(Tabela1[[#This Row],[EA Play Season Pass]]="yes",Tabela1[[#This Row],[Minecraft Season Pass]]="Yes"), "1", "0")*1</f>
        <v>0</v>
      </c>
      <c r="Q143" s="23">
        <f>IF(AND(Tabela1[[#This Row],[EA Play Season Pass]]="No",Tabela1[[#This Row],[Minecraft Season Pass]]="No"), "1", "0")*1</f>
        <v>1</v>
      </c>
      <c r="R143" s="28">
        <f>IF(AND(Tabela1[[#This Row],[EA Play Season Pass]]="No",Tabela1[[#This Row],[Minecraft Season Pass]]="Yes"), "1", "0")*1</f>
        <v>0</v>
      </c>
      <c r="S143" s="28">
        <f>IF(AND(Tabela1[[#This Row],[EA Play Season Pass]]="Yes",Tabela1[[#This Row],[Minecraft Season Pass]]="No"), "1", "0")*1</f>
        <v>0</v>
      </c>
    </row>
    <row r="144" spans="1:19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24">
        <f>IF(Tabela1[[#This Row],[EA Play Season Pass]]="Yes",1,0)</f>
        <v>1</v>
      </c>
      <c r="J144" s="11">
        <v>30</v>
      </c>
      <c r="K144" s="8" t="s">
        <v>19</v>
      </c>
      <c r="L144" s="24">
        <f>IF(Tabela1[[#This Row],[Minecraft Season Pass]]="Yes",1,0)</f>
        <v>1</v>
      </c>
      <c r="M144" s="11">
        <v>20</v>
      </c>
      <c r="N144" s="11">
        <v>20</v>
      </c>
      <c r="O144" s="11">
        <v>45</v>
      </c>
      <c r="P144" s="23">
        <f>IF(AND(Tabela1[[#This Row],[EA Play Season Pass]]="yes",Tabela1[[#This Row],[Minecraft Season Pass]]="Yes"), "1", "0")*1</f>
        <v>1</v>
      </c>
      <c r="Q144" s="23">
        <f>IF(AND(Tabela1[[#This Row],[EA Play Season Pass]]="No",Tabela1[[#This Row],[Minecraft Season Pass]]="No"), "1", "0")*1</f>
        <v>0</v>
      </c>
      <c r="R144" s="28">
        <f>IF(AND(Tabela1[[#This Row],[EA Play Season Pass]]="No",Tabela1[[#This Row],[Minecraft Season Pass]]="Yes"), "1", "0")*1</f>
        <v>0</v>
      </c>
      <c r="S144" s="28">
        <f>IF(AND(Tabela1[[#This Row],[EA Play Season Pass]]="Yes",Tabela1[[#This Row],[Minecraft Season Pass]]="No"), "1", "0")*1</f>
        <v>0</v>
      </c>
    </row>
    <row r="145" spans="1:19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24">
        <f>IF(Tabela1[[#This Row],[EA Play Season Pass]]="Yes",1,0)</f>
        <v>0</v>
      </c>
      <c r="J145" s="11" t="s">
        <v>311</v>
      </c>
      <c r="K145" s="8" t="s">
        <v>19</v>
      </c>
      <c r="L145" s="24">
        <f>IF(Tabela1[[#This Row],[Minecraft Season Pass]]="Yes",1,0)</f>
        <v>1</v>
      </c>
      <c r="M145" s="11">
        <v>20</v>
      </c>
      <c r="N145" s="11">
        <v>12</v>
      </c>
      <c r="O145" s="11">
        <v>18</v>
      </c>
      <c r="P145" s="23">
        <f>IF(AND(Tabela1[[#This Row],[EA Play Season Pass]]="yes",Tabela1[[#This Row],[Minecraft Season Pass]]="Yes"), "1", "0")*1</f>
        <v>0</v>
      </c>
      <c r="Q145" s="23">
        <f>IF(AND(Tabela1[[#This Row],[EA Play Season Pass]]="No",Tabela1[[#This Row],[Minecraft Season Pass]]="No"), "1", "0")*1</f>
        <v>0</v>
      </c>
      <c r="R145" s="28">
        <f>IF(AND(Tabela1[[#This Row],[EA Play Season Pass]]="No",Tabela1[[#This Row],[Minecraft Season Pass]]="Yes"), "1", "0")*1</f>
        <v>1</v>
      </c>
      <c r="S145" s="28">
        <f>IF(AND(Tabela1[[#This Row],[EA Play Season Pass]]="Yes",Tabela1[[#This Row],[Minecraft Season Pass]]="No"), "1", "0")*1</f>
        <v>0</v>
      </c>
    </row>
    <row r="146" spans="1:19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24">
        <f>IF(Tabela1[[#This Row],[EA Play Season Pass]]="Yes",1,0)</f>
        <v>0</v>
      </c>
      <c r="J146" s="11" t="s">
        <v>311</v>
      </c>
      <c r="K146" s="8" t="s">
        <v>23</v>
      </c>
      <c r="L146" s="24">
        <f>IF(Tabela1[[#This Row],[Minecraft Season Pass]]="Yes",1,0)</f>
        <v>0</v>
      </c>
      <c r="M146" s="11">
        <v>0</v>
      </c>
      <c r="N146" s="11">
        <v>2</v>
      </c>
      <c r="O146" s="11">
        <v>3</v>
      </c>
      <c r="P146" s="23">
        <f>IF(AND(Tabela1[[#This Row],[EA Play Season Pass]]="yes",Tabela1[[#This Row],[Minecraft Season Pass]]="Yes"), "1", "0")*1</f>
        <v>0</v>
      </c>
      <c r="Q146" s="23">
        <f>IF(AND(Tabela1[[#This Row],[EA Play Season Pass]]="No",Tabela1[[#This Row],[Minecraft Season Pass]]="No"), "1", "0")*1</f>
        <v>1</v>
      </c>
      <c r="R146" s="28">
        <f>IF(AND(Tabela1[[#This Row],[EA Play Season Pass]]="No",Tabela1[[#This Row],[Minecraft Season Pass]]="Yes"), "1", "0")*1</f>
        <v>0</v>
      </c>
      <c r="S146" s="28">
        <f>IF(AND(Tabela1[[#This Row],[EA Play Season Pass]]="Yes",Tabela1[[#This Row],[Minecraft Season Pass]]="No"), "1", "0")*1</f>
        <v>0</v>
      </c>
    </row>
    <row r="147" spans="1:19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24">
        <f>IF(Tabela1[[#This Row],[EA Play Season Pass]]="Yes",1,0)</f>
        <v>1</v>
      </c>
      <c r="J147" s="11">
        <v>30</v>
      </c>
      <c r="K147" s="8" t="s">
        <v>19</v>
      </c>
      <c r="L147" s="24">
        <f>IF(Tabela1[[#This Row],[Minecraft Season Pass]]="Yes",1,0)</f>
        <v>1</v>
      </c>
      <c r="M147" s="11">
        <v>20</v>
      </c>
      <c r="N147" s="11">
        <v>5</v>
      </c>
      <c r="O147" s="11">
        <v>60</v>
      </c>
      <c r="P147" s="23">
        <f>IF(AND(Tabela1[[#This Row],[EA Play Season Pass]]="yes",Tabela1[[#This Row],[Minecraft Season Pass]]="Yes"), "1", "0")*1</f>
        <v>1</v>
      </c>
      <c r="Q147" s="23">
        <f>IF(AND(Tabela1[[#This Row],[EA Play Season Pass]]="No",Tabela1[[#This Row],[Minecraft Season Pass]]="No"), "1", "0")*1</f>
        <v>0</v>
      </c>
      <c r="R147" s="28">
        <f>IF(AND(Tabela1[[#This Row],[EA Play Season Pass]]="No",Tabela1[[#This Row],[Minecraft Season Pass]]="Yes"), "1", "0")*1</f>
        <v>0</v>
      </c>
      <c r="S147" s="28">
        <f>IF(AND(Tabela1[[#This Row],[EA Play Season Pass]]="Yes",Tabela1[[#This Row],[Minecraft Season Pass]]="No"), "1", "0")*1</f>
        <v>0</v>
      </c>
    </row>
    <row r="148" spans="1:19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24">
        <f>IF(Tabela1[[#This Row],[EA Play Season Pass]]="Yes",1,0)</f>
        <v>0</v>
      </c>
      <c r="J148" s="11" t="s">
        <v>311</v>
      </c>
      <c r="K148" s="8" t="s">
        <v>19</v>
      </c>
      <c r="L148" s="24">
        <f>IF(Tabela1[[#This Row],[Minecraft Season Pass]]="Yes",1,0)</f>
        <v>1</v>
      </c>
      <c r="M148" s="11">
        <v>20</v>
      </c>
      <c r="N148" s="11">
        <v>10</v>
      </c>
      <c r="O148" s="11">
        <v>20</v>
      </c>
      <c r="P148" s="23">
        <f>IF(AND(Tabela1[[#This Row],[EA Play Season Pass]]="yes",Tabela1[[#This Row],[Minecraft Season Pass]]="Yes"), "1", "0")*1</f>
        <v>0</v>
      </c>
      <c r="Q148" s="23">
        <f>IF(AND(Tabela1[[#This Row],[EA Play Season Pass]]="No",Tabela1[[#This Row],[Minecraft Season Pass]]="No"), "1", "0")*1</f>
        <v>0</v>
      </c>
      <c r="R148" s="28">
        <f>IF(AND(Tabela1[[#This Row],[EA Play Season Pass]]="No",Tabela1[[#This Row],[Minecraft Season Pass]]="Yes"), "1", "0")*1</f>
        <v>1</v>
      </c>
      <c r="S148" s="28">
        <f>IF(AND(Tabela1[[#This Row],[EA Play Season Pass]]="Yes",Tabela1[[#This Row],[Minecraft Season Pass]]="No"), "1", "0")*1</f>
        <v>0</v>
      </c>
    </row>
    <row r="149" spans="1:19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24">
        <f>IF(Tabela1[[#This Row],[EA Play Season Pass]]="Yes",1,0)</f>
        <v>0</v>
      </c>
      <c r="J149" s="11" t="s">
        <v>311</v>
      </c>
      <c r="K149" s="8" t="s">
        <v>23</v>
      </c>
      <c r="L149" s="24">
        <f>IF(Tabela1[[#This Row],[Minecraft Season Pass]]="Yes",1,0)</f>
        <v>0</v>
      </c>
      <c r="M149" s="11">
        <v>0</v>
      </c>
      <c r="N149" s="11">
        <v>0</v>
      </c>
      <c r="O149" s="11">
        <v>5</v>
      </c>
      <c r="P149" s="23">
        <f>IF(AND(Tabela1[[#This Row],[EA Play Season Pass]]="yes",Tabela1[[#This Row],[Minecraft Season Pass]]="Yes"), "1", "0")*1</f>
        <v>0</v>
      </c>
      <c r="Q149" s="23">
        <f>IF(AND(Tabela1[[#This Row],[EA Play Season Pass]]="No",Tabela1[[#This Row],[Minecraft Season Pass]]="No"), "1", "0")*1</f>
        <v>1</v>
      </c>
      <c r="R149" s="28">
        <f>IF(AND(Tabela1[[#This Row],[EA Play Season Pass]]="No",Tabela1[[#This Row],[Minecraft Season Pass]]="Yes"), "1", "0")*1</f>
        <v>0</v>
      </c>
      <c r="S149" s="28">
        <f>IF(AND(Tabela1[[#This Row],[EA Play Season Pass]]="Yes",Tabela1[[#This Row],[Minecraft Season Pass]]="No"), "1", "0")*1</f>
        <v>0</v>
      </c>
    </row>
    <row r="150" spans="1:19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24">
        <f>IF(Tabela1[[#This Row],[EA Play Season Pass]]="Yes",1,0)</f>
        <v>1</v>
      </c>
      <c r="J150" s="11">
        <v>30</v>
      </c>
      <c r="K150" s="8" t="s">
        <v>19</v>
      </c>
      <c r="L150" s="24">
        <f>IF(Tabela1[[#This Row],[Minecraft Season Pass]]="Yes",1,0)</f>
        <v>1</v>
      </c>
      <c r="M150" s="11">
        <v>20</v>
      </c>
      <c r="N150" s="11">
        <v>3</v>
      </c>
      <c r="O150" s="11">
        <v>62</v>
      </c>
      <c r="P150" s="23">
        <f>IF(AND(Tabela1[[#This Row],[EA Play Season Pass]]="yes",Tabela1[[#This Row],[Minecraft Season Pass]]="Yes"), "1", "0")*1</f>
        <v>1</v>
      </c>
      <c r="Q150" s="23">
        <f>IF(AND(Tabela1[[#This Row],[EA Play Season Pass]]="No",Tabela1[[#This Row],[Minecraft Season Pass]]="No"), "1", "0")*1</f>
        <v>0</v>
      </c>
      <c r="R150" s="28">
        <f>IF(AND(Tabela1[[#This Row],[EA Play Season Pass]]="No",Tabela1[[#This Row],[Minecraft Season Pass]]="Yes"), "1", "0")*1</f>
        <v>0</v>
      </c>
      <c r="S150" s="28">
        <f>IF(AND(Tabela1[[#This Row],[EA Play Season Pass]]="Yes",Tabela1[[#This Row],[Minecraft Season Pass]]="No"), "1", "0")*1</f>
        <v>0</v>
      </c>
    </row>
    <row r="151" spans="1:19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24">
        <f>IF(Tabela1[[#This Row],[EA Play Season Pass]]="Yes",1,0)</f>
        <v>0</v>
      </c>
      <c r="J151" s="11" t="s">
        <v>311</v>
      </c>
      <c r="K151" s="8" t="s">
        <v>19</v>
      </c>
      <c r="L151" s="24">
        <f>IF(Tabela1[[#This Row],[Minecraft Season Pass]]="Yes",1,0)</f>
        <v>1</v>
      </c>
      <c r="M151" s="11">
        <v>20</v>
      </c>
      <c r="N151" s="11">
        <v>15</v>
      </c>
      <c r="O151" s="11">
        <v>15</v>
      </c>
      <c r="P151" s="23">
        <f>IF(AND(Tabela1[[#This Row],[EA Play Season Pass]]="yes",Tabela1[[#This Row],[Minecraft Season Pass]]="Yes"), "1", "0")*1</f>
        <v>0</v>
      </c>
      <c r="Q151" s="23">
        <f>IF(AND(Tabela1[[#This Row],[EA Play Season Pass]]="No",Tabela1[[#This Row],[Minecraft Season Pass]]="No"), "1", "0")*1</f>
        <v>0</v>
      </c>
      <c r="R151" s="28">
        <f>IF(AND(Tabela1[[#This Row],[EA Play Season Pass]]="No",Tabela1[[#This Row],[Minecraft Season Pass]]="Yes"), "1", "0")*1</f>
        <v>1</v>
      </c>
      <c r="S151" s="28">
        <f>IF(AND(Tabela1[[#This Row],[EA Play Season Pass]]="Yes",Tabela1[[#This Row],[Minecraft Season Pass]]="No"), "1", "0")*1</f>
        <v>0</v>
      </c>
    </row>
    <row r="152" spans="1:19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24">
        <f>IF(Tabela1[[#This Row],[EA Play Season Pass]]="Yes",1,0)</f>
        <v>0</v>
      </c>
      <c r="J152" s="11" t="s">
        <v>311</v>
      </c>
      <c r="K152" s="8" t="s">
        <v>23</v>
      </c>
      <c r="L152" s="24">
        <f>IF(Tabela1[[#This Row],[Minecraft Season Pass]]="Yes",1,0)</f>
        <v>0</v>
      </c>
      <c r="M152" s="11">
        <v>0</v>
      </c>
      <c r="N152" s="11">
        <v>1</v>
      </c>
      <c r="O152" s="11">
        <v>4</v>
      </c>
      <c r="P152" s="23">
        <f>IF(AND(Tabela1[[#This Row],[EA Play Season Pass]]="yes",Tabela1[[#This Row],[Minecraft Season Pass]]="Yes"), "1", "0")*1</f>
        <v>0</v>
      </c>
      <c r="Q152" s="23">
        <f>IF(AND(Tabela1[[#This Row],[EA Play Season Pass]]="No",Tabela1[[#This Row],[Minecraft Season Pass]]="No"), "1", "0")*1</f>
        <v>1</v>
      </c>
      <c r="R152" s="28">
        <f>IF(AND(Tabela1[[#This Row],[EA Play Season Pass]]="No",Tabela1[[#This Row],[Minecraft Season Pass]]="Yes"), "1", "0")*1</f>
        <v>0</v>
      </c>
      <c r="S152" s="28">
        <f>IF(AND(Tabela1[[#This Row],[EA Play Season Pass]]="Yes",Tabela1[[#This Row],[Minecraft Season Pass]]="No"), "1", "0")*1</f>
        <v>0</v>
      </c>
    </row>
    <row r="153" spans="1:19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24">
        <f>IF(Tabela1[[#This Row],[EA Play Season Pass]]="Yes",1,0)</f>
        <v>1</v>
      </c>
      <c r="J153" s="11">
        <v>30</v>
      </c>
      <c r="K153" s="8" t="s">
        <v>19</v>
      </c>
      <c r="L153" s="24">
        <f>IF(Tabela1[[#This Row],[Minecraft Season Pass]]="Yes",1,0)</f>
        <v>1</v>
      </c>
      <c r="M153" s="11">
        <v>20</v>
      </c>
      <c r="N153" s="11">
        <v>7</v>
      </c>
      <c r="O153" s="11">
        <v>58</v>
      </c>
      <c r="P153" s="23">
        <f>IF(AND(Tabela1[[#This Row],[EA Play Season Pass]]="yes",Tabela1[[#This Row],[Minecraft Season Pass]]="Yes"), "1", "0")*1</f>
        <v>1</v>
      </c>
      <c r="Q153" s="23">
        <f>IF(AND(Tabela1[[#This Row],[EA Play Season Pass]]="No",Tabela1[[#This Row],[Minecraft Season Pass]]="No"), "1", "0")*1</f>
        <v>0</v>
      </c>
      <c r="R153" s="28">
        <f>IF(AND(Tabela1[[#This Row],[EA Play Season Pass]]="No",Tabela1[[#This Row],[Minecraft Season Pass]]="Yes"), "1", "0")*1</f>
        <v>0</v>
      </c>
      <c r="S153" s="28">
        <f>IF(AND(Tabela1[[#This Row],[EA Play Season Pass]]="Yes",Tabela1[[#This Row],[Minecraft Season Pass]]="No"), "1", "0")*1</f>
        <v>0</v>
      </c>
    </row>
    <row r="154" spans="1:19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24">
        <f>IF(Tabela1[[#This Row],[EA Play Season Pass]]="Yes",1,0)</f>
        <v>0</v>
      </c>
      <c r="J154" s="11" t="s">
        <v>311</v>
      </c>
      <c r="K154" s="8" t="s">
        <v>19</v>
      </c>
      <c r="L154" s="24">
        <f>IF(Tabela1[[#This Row],[Minecraft Season Pass]]="Yes",1,0)</f>
        <v>1</v>
      </c>
      <c r="M154" s="11">
        <v>20</v>
      </c>
      <c r="N154" s="11">
        <v>10</v>
      </c>
      <c r="O154" s="11">
        <v>20</v>
      </c>
      <c r="P154" s="23">
        <f>IF(AND(Tabela1[[#This Row],[EA Play Season Pass]]="yes",Tabela1[[#This Row],[Minecraft Season Pass]]="Yes"), "1", "0")*1</f>
        <v>0</v>
      </c>
      <c r="Q154" s="23">
        <f>IF(AND(Tabela1[[#This Row],[EA Play Season Pass]]="No",Tabela1[[#This Row],[Minecraft Season Pass]]="No"), "1", "0")*1</f>
        <v>0</v>
      </c>
      <c r="R154" s="28">
        <f>IF(AND(Tabela1[[#This Row],[EA Play Season Pass]]="No",Tabela1[[#This Row],[Minecraft Season Pass]]="Yes"), "1", "0")*1</f>
        <v>1</v>
      </c>
      <c r="S154" s="28">
        <f>IF(AND(Tabela1[[#This Row],[EA Play Season Pass]]="Yes",Tabela1[[#This Row],[Minecraft Season Pass]]="No"), "1", "0")*1</f>
        <v>0</v>
      </c>
    </row>
    <row r="155" spans="1:19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24">
        <f>IF(Tabela1[[#This Row],[EA Play Season Pass]]="Yes",1,0)</f>
        <v>0</v>
      </c>
      <c r="J155" s="11" t="s">
        <v>311</v>
      </c>
      <c r="K155" s="8" t="s">
        <v>23</v>
      </c>
      <c r="L155" s="24">
        <f>IF(Tabela1[[#This Row],[Minecraft Season Pass]]="Yes",1,0)</f>
        <v>0</v>
      </c>
      <c r="M155" s="11">
        <v>0</v>
      </c>
      <c r="N155" s="11">
        <v>0</v>
      </c>
      <c r="O155" s="11">
        <v>5</v>
      </c>
      <c r="P155" s="23">
        <f>IF(AND(Tabela1[[#This Row],[EA Play Season Pass]]="yes",Tabela1[[#This Row],[Minecraft Season Pass]]="Yes"), "1", "0")*1</f>
        <v>0</v>
      </c>
      <c r="Q155" s="23">
        <f>IF(AND(Tabela1[[#This Row],[EA Play Season Pass]]="No",Tabela1[[#This Row],[Minecraft Season Pass]]="No"), "1", "0")*1</f>
        <v>1</v>
      </c>
      <c r="R155" s="28">
        <f>IF(AND(Tabela1[[#This Row],[EA Play Season Pass]]="No",Tabela1[[#This Row],[Minecraft Season Pass]]="Yes"), "1", "0")*1</f>
        <v>0</v>
      </c>
      <c r="S155" s="28">
        <f>IF(AND(Tabela1[[#This Row],[EA Play Season Pass]]="Yes",Tabela1[[#This Row],[Minecraft Season Pass]]="No"), "1", "0")*1</f>
        <v>0</v>
      </c>
    </row>
    <row r="156" spans="1:19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24">
        <f>IF(Tabela1[[#This Row],[EA Play Season Pass]]="Yes",1,0)</f>
        <v>1</v>
      </c>
      <c r="J156" s="11">
        <v>30</v>
      </c>
      <c r="K156" s="8" t="s">
        <v>19</v>
      </c>
      <c r="L156" s="24">
        <f>IF(Tabela1[[#This Row],[Minecraft Season Pass]]="Yes",1,0)</f>
        <v>1</v>
      </c>
      <c r="M156" s="11">
        <v>20</v>
      </c>
      <c r="N156" s="11">
        <v>20</v>
      </c>
      <c r="O156" s="11">
        <v>45</v>
      </c>
      <c r="P156" s="23">
        <f>IF(AND(Tabela1[[#This Row],[EA Play Season Pass]]="yes",Tabela1[[#This Row],[Minecraft Season Pass]]="Yes"), "1", "0")*1</f>
        <v>1</v>
      </c>
      <c r="Q156" s="23">
        <f>IF(AND(Tabela1[[#This Row],[EA Play Season Pass]]="No",Tabela1[[#This Row],[Minecraft Season Pass]]="No"), "1", "0")*1</f>
        <v>0</v>
      </c>
      <c r="R156" s="28">
        <f>IF(AND(Tabela1[[#This Row],[EA Play Season Pass]]="No",Tabela1[[#This Row],[Minecraft Season Pass]]="Yes"), "1", "0")*1</f>
        <v>0</v>
      </c>
      <c r="S156" s="28">
        <f>IF(AND(Tabela1[[#This Row],[EA Play Season Pass]]="Yes",Tabela1[[#This Row],[Minecraft Season Pass]]="No"), "1", "0")*1</f>
        <v>0</v>
      </c>
    </row>
    <row r="157" spans="1:19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24">
        <f>IF(Tabela1[[#This Row],[EA Play Season Pass]]="Yes",1,0)</f>
        <v>0</v>
      </c>
      <c r="J157" s="11" t="s">
        <v>311</v>
      </c>
      <c r="K157" s="8" t="s">
        <v>19</v>
      </c>
      <c r="L157" s="24">
        <f>IF(Tabela1[[#This Row],[Minecraft Season Pass]]="Yes",1,0)</f>
        <v>1</v>
      </c>
      <c r="M157" s="11">
        <v>20</v>
      </c>
      <c r="N157" s="11">
        <v>15</v>
      </c>
      <c r="O157" s="11">
        <v>15</v>
      </c>
      <c r="P157" s="23">
        <f>IF(AND(Tabela1[[#This Row],[EA Play Season Pass]]="yes",Tabela1[[#This Row],[Minecraft Season Pass]]="Yes"), "1", "0")*1</f>
        <v>0</v>
      </c>
      <c r="Q157" s="23">
        <f>IF(AND(Tabela1[[#This Row],[EA Play Season Pass]]="No",Tabela1[[#This Row],[Minecraft Season Pass]]="No"), "1", "0")*1</f>
        <v>0</v>
      </c>
      <c r="R157" s="28">
        <f>IF(AND(Tabela1[[#This Row],[EA Play Season Pass]]="No",Tabela1[[#This Row],[Minecraft Season Pass]]="Yes"), "1", "0")*1</f>
        <v>1</v>
      </c>
      <c r="S157" s="28">
        <f>IF(AND(Tabela1[[#This Row],[EA Play Season Pass]]="Yes",Tabela1[[#This Row],[Minecraft Season Pass]]="No"), "1", "0")*1</f>
        <v>0</v>
      </c>
    </row>
    <row r="158" spans="1:19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24">
        <f>IF(Tabela1[[#This Row],[EA Play Season Pass]]="Yes",1,0)</f>
        <v>0</v>
      </c>
      <c r="J158" s="11" t="s">
        <v>311</v>
      </c>
      <c r="K158" s="8" t="s">
        <v>23</v>
      </c>
      <c r="L158" s="24">
        <f>IF(Tabela1[[#This Row],[Minecraft Season Pass]]="Yes",1,0)</f>
        <v>0</v>
      </c>
      <c r="M158" s="11">
        <v>0</v>
      </c>
      <c r="N158" s="11">
        <v>1</v>
      </c>
      <c r="O158" s="11">
        <v>4</v>
      </c>
      <c r="P158" s="23">
        <f>IF(AND(Tabela1[[#This Row],[EA Play Season Pass]]="yes",Tabela1[[#This Row],[Minecraft Season Pass]]="Yes"), "1", "0")*1</f>
        <v>0</v>
      </c>
      <c r="Q158" s="23">
        <f>IF(AND(Tabela1[[#This Row],[EA Play Season Pass]]="No",Tabela1[[#This Row],[Minecraft Season Pass]]="No"), "1", "0")*1</f>
        <v>1</v>
      </c>
      <c r="R158" s="28">
        <f>IF(AND(Tabela1[[#This Row],[EA Play Season Pass]]="No",Tabela1[[#This Row],[Minecraft Season Pass]]="Yes"), "1", "0")*1</f>
        <v>0</v>
      </c>
      <c r="S158" s="28">
        <f>IF(AND(Tabela1[[#This Row],[EA Play Season Pass]]="Yes",Tabela1[[#This Row],[Minecraft Season Pass]]="No"), "1", "0")*1</f>
        <v>0</v>
      </c>
    </row>
    <row r="159" spans="1:19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24">
        <f>IF(Tabela1[[#This Row],[EA Play Season Pass]]="Yes",1,0)</f>
        <v>1</v>
      </c>
      <c r="J159" s="11">
        <v>30</v>
      </c>
      <c r="K159" s="8" t="s">
        <v>19</v>
      </c>
      <c r="L159" s="24">
        <f>IF(Tabela1[[#This Row],[Minecraft Season Pass]]="Yes",1,0)</f>
        <v>1</v>
      </c>
      <c r="M159" s="11">
        <v>20</v>
      </c>
      <c r="N159" s="11">
        <v>3</v>
      </c>
      <c r="O159" s="11">
        <v>62</v>
      </c>
      <c r="P159" s="23">
        <f>IF(AND(Tabela1[[#This Row],[EA Play Season Pass]]="yes",Tabela1[[#This Row],[Minecraft Season Pass]]="Yes"), "1", "0")*1</f>
        <v>1</v>
      </c>
      <c r="Q159" s="23">
        <f>IF(AND(Tabela1[[#This Row],[EA Play Season Pass]]="No",Tabela1[[#This Row],[Minecraft Season Pass]]="No"), "1", "0")*1</f>
        <v>0</v>
      </c>
      <c r="R159" s="28">
        <f>IF(AND(Tabela1[[#This Row],[EA Play Season Pass]]="No",Tabela1[[#This Row],[Minecraft Season Pass]]="Yes"), "1", "0")*1</f>
        <v>0</v>
      </c>
      <c r="S159" s="28">
        <f>IF(AND(Tabela1[[#This Row],[EA Play Season Pass]]="Yes",Tabela1[[#This Row],[Minecraft Season Pass]]="No"), "1", "0")*1</f>
        <v>0</v>
      </c>
    </row>
    <row r="160" spans="1:19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24">
        <f>IF(Tabela1[[#This Row],[EA Play Season Pass]]="Yes",1,0)</f>
        <v>0</v>
      </c>
      <c r="J160" s="11" t="s">
        <v>311</v>
      </c>
      <c r="K160" s="8" t="s">
        <v>19</v>
      </c>
      <c r="L160" s="24">
        <f>IF(Tabela1[[#This Row],[Minecraft Season Pass]]="Yes",1,0)</f>
        <v>1</v>
      </c>
      <c r="M160" s="11">
        <v>20</v>
      </c>
      <c r="N160" s="11">
        <v>10</v>
      </c>
      <c r="O160" s="11">
        <v>20</v>
      </c>
      <c r="P160" s="23">
        <f>IF(AND(Tabela1[[#This Row],[EA Play Season Pass]]="yes",Tabela1[[#This Row],[Minecraft Season Pass]]="Yes"), "1", "0")*1</f>
        <v>0</v>
      </c>
      <c r="Q160" s="23">
        <f>IF(AND(Tabela1[[#This Row],[EA Play Season Pass]]="No",Tabela1[[#This Row],[Minecraft Season Pass]]="No"), "1", "0")*1</f>
        <v>0</v>
      </c>
      <c r="R160" s="28">
        <f>IF(AND(Tabela1[[#This Row],[EA Play Season Pass]]="No",Tabela1[[#This Row],[Minecraft Season Pass]]="Yes"), "1", "0")*1</f>
        <v>1</v>
      </c>
      <c r="S160" s="28">
        <f>IF(AND(Tabela1[[#This Row],[EA Play Season Pass]]="Yes",Tabela1[[#This Row],[Minecraft Season Pass]]="No"), "1", "0")*1</f>
        <v>0</v>
      </c>
    </row>
    <row r="161" spans="1:19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24">
        <f>IF(Tabela1[[#This Row],[EA Play Season Pass]]="Yes",1,0)</f>
        <v>0</v>
      </c>
      <c r="J161" s="11" t="s">
        <v>311</v>
      </c>
      <c r="K161" s="8" t="s">
        <v>23</v>
      </c>
      <c r="L161" s="24">
        <f>IF(Tabela1[[#This Row],[Minecraft Season Pass]]="Yes",1,0)</f>
        <v>0</v>
      </c>
      <c r="M161" s="11">
        <v>0</v>
      </c>
      <c r="N161" s="11">
        <v>0</v>
      </c>
      <c r="O161" s="11">
        <v>5</v>
      </c>
      <c r="P161" s="23">
        <f>IF(AND(Tabela1[[#This Row],[EA Play Season Pass]]="yes",Tabela1[[#This Row],[Minecraft Season Pass]]="Yes"), "1", "0")*1</f>
        <v>0</v>
      </c>
      <c r="Q161" s="23">
        <f>IF(AND(Tabela1[[#This Row],[EA Play Season Pass]]="No",Tabela1[[#This Row],[Minecraft Season Pass]]="No"), "1", "0")*1</f>
        <v>1</v>
      </c>
      <c r="R161" s="28">
        <f>IF(AND(Tabela1[[#This Row],[EA Play Season Pass]]="No",Tabela1[[#This Row],[Minecraft Season Pass]]="Yes"), "1", "0")*1</f>
        <v>0</v>
      </c>
      <c r="S161" s="28">
        <f>IF(AND(Tabela1[[#This Row],[EA Play Season Pass]]="Yes",Tabela1[[#This Row],[Minecraft Season Pass]]="No"), "1", "0")*1</f>
        <v>0</v>
      </c>
    </row>
    <row r="162" spans="1:19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24">
        <f>IF(Tabela1[[#This Row],[EA Play Season Pass]]="Yes",1,0)</f>
        <v>1</v>
      </c>
      <c r="J162" s="11">
        <v>30</v>
      </c>
      <c r="K162" s="8" t="s">
        <v>19</v>
      </c>
      <c r="L162" s="24">
        <f>IF(Tabela1[[#This Row],[Minecraft Season Pass]]="Yes",1,0)</f>
        <v>1</v>
      </c>
      <c r="M162" s="11">
        <v>20</v>
      </c>
      <c r="N162" s="11">
        <v>15</v>
      </c>
      <c r="O162" s="11">
        <v>50</v>
      </c>
      <c r="P162" s="23">
        <f>IF(AND(Tabela1[[#This Row],[EA Play Season Pass]]="yes",Tabela1[[#This Row],[Minecraft Season Pass]]="Yes"), "1", "0")*1</f>
        <v>1</v>
      </c>
      <c r="Q162" s="23">
        <f>IF(AND(Tabela1[[#This Row],[EA Play Season Pass]]="No",Tabela1[[#This Row],[Minecraft Season Pass]]="No"), "1", "0")*1</f>
        <v>0</v>
      </c>
      <c r="R162" s="28">
        <f>IF(AND(Tabela1[[#This Row],[EA Play Season Pass]]="No",Tabela1[[#This Row],[Minecraft Season Pass]]="Yes"), "1", "0")*1</f>
        <v>0</v>
      </c>
      <c r="S162" s="28">
        <f>IF(AND(Tabela1[[#This Row],[EA Play Season Pass]]="Yes",Tabela1[[#This Row],[Minecraft Season Pass]]="No"), "1", "0")*1</f>
        <v>0</v>
      </c>
    </row>
    <row r="163" spans="1:19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24">
        <f>IF(Tabela1[[#This Row],[EA Play Season Pass]]="Yes",1,0)</f>
        <v>0</v>
      </c>
      <c r="J163" s="11" t="s">
        <v>311</v>
      </c>
      <c r="K163" s="8" t="s">
        <v>19</v>
      </c>
      <c r="L163" s="24">
        <f>IF(Tabela1[[#This Row],[Minecraft Season Pass]]="Yes",1,0)</f>
        <v>1</v>
      </c>
      <c r="M163" s="11">
        <v>20</v>
      </c>
      <c r="N163" s="11">
        <v>15</v>
      </c>
      <c r="O163" s="11">
        <v>15</v>
      </c>
      <c r="P163" s="23">
        <f>IF(AND(Tabela1[[#This Row],[EA Play Season Pass]]="yes",Tabela1[[#This Row],[Minecraft Season Pass]]="Yes"), "1", "0")*1</f>
        <v>0</v>
      </c>
      <c r="Q163" s="23">
        <f>IF(AND(Tabela1[[#This Row],[EA Play Season Pass]]="No",Tabela1[[#This Row],[Minecraft Season Pass]]="No"), "1", "0")*1</f>
        <v>0</v>
      </c>
      <c r="R163" s="28">
        <f>IF(AND(Tabela1[[#This Row],[EA Play Season Pass]]="No",Tabela1[[#This Row],[Minecraft Season Pass]]="Yes"), "1", "0")*1</f>
        <v>1</v>
      </c>
      <c r="S163" s="28">
        <f>IF(AND(Tabela1[[#This Row],[EA Play Season Pass]]="Yes",Tabela1[[#This Row],[Minecraft Season Pass]]="No"), "1", "0")*1</f>
        <v>0</v>
      </c>
    </row>
    <row r="164" spans="1:19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24">
        <f>IF(Tabela1[[#This Row],[EA Play Season Pass]]="Yes",1,0)</f>
        <v>0</v>
      </c>
      <c r="J164" s="11" t="s">
        <v>311</v>
      </c>
      <c r="K164" s="8" t="s">
        <v>23</v>
      </c>
      <c r="L164" s="24">
        <f>IF(Tabela1[[#This Row],[Minecraft Season Pass]]="Yes",1,0)</f>
        <v>0</v>
      </c>
      <c r="M164" s="11">
        <v>0</v>
      </c>
      <c r="N164" s="11">
        <v>1</v>
      </c>
      <c r="O164" s="11">
        <v>4</v>
      </c>
      <c r="P164" s="23">
        <f>IF(AND(Tabela1[[#This Row],[EA Play Season Pass]]="yes",Tabela1[[#This Row],[Minecraft Season Pass]]="Yes"), "1", "0")*1</f>
        <v>0</v>
      </c>
      <c r="Q164" s="23">
        <f>IF(AND(Tabela1[[#This Row],[EA Play Season Pass]]="No",Tabela1[[#This Row],[Minecraft Season Pass]]="No"), "1", "0")*1</f>
        <v>1</v>
      </c>
      <c r="R164" s="28">
        <f>IF(AND(Tabela1[[#This Row],[EA Play Season Pass]]="No",Tabela1[[#This Row],[Minecraft Season Pass]]="Yes"), "1", "0")*1</f>
        <v>0</v>
      </c>
      <c r="S164" s="28">
        <f>IF(AND(Tabela1[[#This Row],[EA Play Season Pass]]="Yes",Tabela1[[#This Row],[Minecraft Season Pass]]="No"), "1", "0")*1</f>
        <v>0</v>
      </c>
    </row>
    <row r="165" spans="1:19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24">
        <f>IF(Tabela1[[#This Row],[EA Play Season Pass]]="Yes",1,0)</f>
        <v>1</v>
      </c>
      <c r="J165" s="11">
        <v>30</v>
      </c>
      <c r="K165" s="8" t="s">
        <v>19</v>
      </c>
      <c r="L165" s="24">
        <f>IF(Tabela1[[#This Row],[Minecraft Season Pass]]="Yes",1,0)</f>
        <v>1</v>
      </c>
      <c r="M165" s="11">
        <v>20</v>
      </c>
      <c r="N165" s="11">
        <v>7</v>
      </c>
      <c r="O165" s="11">
        <v>58</v>
      </c>
      <c r="P165" s="23">
        <f>IF(AND(Tabela1[[#This Row],[EA Play Season Pass]]="yes",Tabela1[[#This Row],[Minecraft Season Pass]]="Yes"), "1", "0")*1</f>
        <v>1</v>
      </c>
      <c r="Q165" s="23">
        <f>IF(AND(Tabela1[[#This Row],[EA Play Season Pass]]="No",Tabela1[[#This Row],[Minecraft Season Pass]]="No"), "1", "0")*1</f>
        <v>0</v>
      </c>
      <c r="R165" s="28">
        <f>IF(AND(Tabela1[[#This Row],[EA Play Season Pass]]="No",Tabela1[[#This Row],[Minecraft Season Pass]]="Yes"), "1", "0")*1</f>
        <v>0</v>
      </c>
      <c r="S165" s="28">
        <f>IF(AND(Tabela1[[#This Row],[EA Play Season Pass]]="Yes",Tabela1[[#This Row],[Minecraft Season Pass]]="No"), "1", "0")*1</f>
        <v>0</v>
      </c>
    </row>
    <row r="166" spans="1:19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24">
        <f>IF(Tabela1[[#This Row],[EA Play Season Pass]]="Yes",1,0)</f>
        <v>0</v>
      </c>
      <c r="J166" s="11" t="s">
        <v>311</v>
      </c>
      <c r="K166" s="8" t="s">
        <v>19</v>
      </c>
      <c r="L166" s="24">
        <f>IF(Tabela1[[#This Row],[Minecraft Season Pass]]="Yes",1,0)</f>
        <v>1</v>
      </c>
      <c r="M166" s="11">
        <v>20</v>
      </c>
      <c r="N166" s="11">
        <v>10</v>
      </c>
      <c r="O166" s="11">
        <v>20</v>
      </c>
      <c r="P166" s="23">
        <f>IF(AND(Tabela1[[#This Row],[EA Play Season Pass]]="yes",Tabela1[[#This Row],[Minecraft Season Pass]]="Yes"), "1", "0")*1</f>
        <v>0</v>
      </c>
      <c r="Q166" s="23">
        <f>IF(AND(Tabela1[[#This Row],[EA Play Season Pass]]="No",Tabela1[[#This Row],[Minecraft Season Pass]]="No"), "1", "0")*1</f>
        <v>0</v>
      </c>
      <c r="R166" s="28">
        <f>IF(AND(Tabela1[[#This Row],[EA Play Season Pass]]="No",Tabela1[[#This Row],[Minecraft Season Pass]]="Yes"), "1", "0")*1</f>
        <v>1</v>
      </c>
      <c r="S166" s="28">
        <f>IF(AND(Tabela1[[#This Row],[EA Play Season Pass]]="Yes",Tabela1[[#This Row],[Minecraft Season Pass]]="No"), "1", "0")*1</f>
        <v>0</v>
      </c>
    </row>
    <row r="167" spans="1:19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24">
        <f>IF(Tabela1[[#This Row],[EA Play Season Pass]]="Yes",1,0)</f>
        <v>0</v>
      </c>
      <c r="J167" s="11" t="s">
        <v>311</v>
      </c>
      <c r="K167" s="8" t="s">
        <v>23</v>
      </c>
      <c r="L167" s="24">
        <f>IF(Tabela1[[#This Row],[Minecraft Season Pass]]="Yes",1,0)</f>
        <v>0</v>
      </c>
      <c r="M167" s="11">
        <v>0</v>
      </c>
      <c r="N167" s="11">
        <v>0</v>
      </c>
      <c r="O167" s="11">
        <v>5</v>
      </c>
      <c r="P167" s="23">
        <f>IF(AND(Tabela1[[#This Row],[EA Play Season Pass]]="yes",Tabela1[[#This Row],[Minecraft Season Pass]]="Yes"), "1", "0")*1</f>
        <v>0</v>
      </c>
      <c r="Q167" s="23">
        <f>IF(AND(Tabela1[[#This Row],[EA Play Season Pass]]="No",Tabela1[[#This Row],[Minecraft Season Pass]]="No"), "1", "0")*1</f>
        <v>1</v>
      </c>
      <c r="R167" s="28">
        <f>IF(AND(Tabela1[[#This Row],[EA Play Season Pass]]="No",Tabela1[[#This Row],[Minecraft Season Pass]]="Yes"), "1", "0")*1</f>
        <v>0</v>
      </c>
      <c r="S167" s="28">
        <f>IF(AND(Tabela1[[#This Row],[EA Play Season Pass]]="Yes",Tabela1[[#This Row],[Minecraft Season Pass]]="No"), "1", "0")*1</f>
        <v>0</v>
      </c>
    </row>
    <row r="168" spans="1:19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24">
        <f>IF(Tabela1[[#This Row],[EA Play Season Pass]]="Yes",1,0)</f>
        <v>1</v>
      </c>
      <c r="J168" s="11">
        <v>30</v>
      </c>
      <c r="K168" s="8" t="s">
        <v>19</v>
      </c>
      <c r="L168" s="24">
        <f>IF(Tabela1[[#This Row],[Minecraft Season Pass]]="Yes",1,0)</f>
        <v>1</v>
      </c>
      <c r="M168" s="11">
        <v>20</v>
      </c>
      <c r="N168" s="11">
        <v>20</v>
      </c>
      <c r="O168" s="11">
        <v>45</v>
      </c>
      <c r="P168" s="23">
        <f>IF(AND(Tabela1[[#This Row],[EA Play Season Pass]]="yes",Tabela1[[#This Row],[Minecraft Season Pass]]="Yes"), "1", "0")*1</f>
        <v>1</v>
      </c>
      <c r="Q168" s="23">
        <f>IF(AND(Tabela1[[#This Row],[EA Play Season Pass]]="No",Tabela1[[#This Row],[Minecraft Season Pass]]="No"), "1", "0")*1</f>
        <v>0</v>
      </c>
      <c r="R168" s="28">
        <f>IF(AND(Tabela1[[#This Row],[EA Play Season Pass]]="No",Tabela1[[#This Row],[Minecraft Season Pass]]="Yes"), "1", "0")*1</f>
        <v>0</v>
      </c>
      <c r="S168" s="28">
        <f>IF(AND(Tabela1[[#This Row],[EA Play Season Pass]]="Yes",Tabela1[[#This Row],[Minecraft Season Pass]]="No"), "1", "0")*1</f>
        <v>0</v>
      </c>
    </row>
    <row r="169" spans="1:19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24">
        <f>IF(Tabela1[[#This Row],[EA Play Season Pass]]="Yes",1,0)</f>
        <v>0</v>
      </c>
      <c r="J169" s="11" t="s">
        <v>311</v>
      </c>
      <c r="K169" s="8" t="s">
        <v>19</v>
      </c>
      <c r="L169" s="24">
        <f>IF(Tabela1[[#This Row],[Minecraft Season Pass]]="Yes",1,0)</f>
        <v>1</v>
      </c>
      <c r="M169" s="11">
        <v>20</v>
      </c>
      <c r="N169" s="11">
        <v>15</v>
      </c>
      <c r="O169" s="11">
        <v>15</v>
      </c>
      <c r="P169" s="23">
        <f>IF(AND(Tabela1[[#This Row],[EA Play Season Pass]]="yes",Tabela1[[#This Row],[Minecraft Season Pass]]="Yes"), "1", "0")*1</f>
        <v>0</v>
      </c>
      <c r="Q169" s="23">
        <f>IF(AND(Tabela1[[#This Row],[EA Play Season Pass]]="No",Tabela1[[#This Row],[Minecraft Season Pass]]="No"), "1", "0")*1</f>
        <v>0</v>
      </c>
      <c r="R169" s="28">
        <f>IF(AND(Tabela1[[#This Row],[EA Play Season Pass]]="No",Tabela1[[#This Row],[Minecraft Season Pass]]="Yes"), "1", "0")*1</f>
        <v>1</v>
      </c>
      <c r="S169" s="28">
        <f>IF(AND(Tabela1[[#This Row],[EA Play Season Pass]]="Yes",Tabela1[[#This Row],[Minecraft Season Pass]]="No"), "1", "0")*1</f>
        <v>0</v>
      </c>
    </row>
    <row r="170" spans="1:19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24">
        <f>IF(Tabela1[[#This Row],[EA Play Season Pass]]="Yes",1,0)</f>
        <v>0</v>
      </c>
      <c r="J170" s="11" t="s">
        <v>311</v>
      </c>
      <c r="K170" s="8" t="s">
        <v>23</v>
      </c>
      <c r="L170" s="24">
        <f>IF(Tabela1[[#This Row],[Minecraft Season Pass]]="Yes",1,0)</f>
        <v>0</v>
      </c>
      <c r="M170" s="11">
        <v>0</v>
      </c>
      <c r="N170" s="11">
        <v>1</v>
      </c>
      <c r="O170" s="11">
        <v>4</v>
      </c>
      <c r="P170" s="23">
        <f>IF(AND(Tabela1[[#This Row],[EA Play Season Pass]]="yes",Tabela1[[#This Row],[Minecraft Season Pass]]="Yes"), "1", "0")*1</f>
        <v>0</v>
      </c>
      <c r="Q170" s="23">
        <f>IF(AND(Tabela1[[#This Row],[EA Play Season Pass]]="No",Tabela1[[#This Row],[Minecraft Season Pass]]="No"), "1", "0")*1</f>
        <v>1</v>
      </c>
      <c r="R170" s="28">
        <f>IF(AND(Tabela1[[#This Row],[EA Play Season Pass]]="No",Tabela1[[#This Row],[Minecraft Season Pass]]="Yes"), "1", "0")*1</f>
        <v>0</v>
      </c>
      <c r="S170" s="28">
        <f>IF(AND(Tabela1[[#This Row],[EA Play Season Pass]]="Yes",Tabela1[[#This Row],[Minecraft Season Pass]]="No"), "1", "0")*1</f>
        <v>0</v>
      </c>
    </row>
    <row r="171" spans="1:19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24">
        <f>IF(Tabela1[[#This Row],[EA Play Season Pass]]="Yes",1,0)</f>
        <v>1</v>
      </c>
      <c r="J171" s="11">
        <v>30</v>
      </c>
      <c r="K171" s="8" t="s">
        <v>19</v>
      </c>
      <c r="L171" s="24">
        <f>IF(Tabela1[[#This Row],[Minecraft Season Pass]]="Yes",1,0)</f>
        <v>1</v>
      </c>
      <c r="M171" s="11">
        <v>20</v>
      </c>
      <c r="N171" s="11">
        <v>5</v>
      </c>
      <c r="O171" s="11">
        <v>60</v>
      </c>
      <c r="P171" s="23">
        <f>IF(AND(Tabela1[[#This Row],[EA Play Season Pass]]="yes",Tabela1[[#This Row],[Minecraft Season Pass]]="Yes"), "1", "0")*1</f>
        <v>1</v>
      </c>
      <c r="Q171" s="23">
        <f>IF(AND(Tabela1[[#This Row],[EA Play Season Pass]]="No",Tabela1[[#This Row],[Minecraft Season Pass]]="No"), "1", "0")*1</f>
        <v>0</v>
      </c>
      <c r="R171" s="28">
        <f>IF(AND(Tabela1[[#This Row],[EA Play Season Pass]]="No",Tabela1[[#This Row],[Minecraft Season Pass]]="Yes"), "1", "0")*1</f>
        <v>0</v>
      </c>
      <c r="S171" s="28">
        <f>IF(AND(Tabela1[[#This Row],[EA Play Season Pass]]="Yes",Tabela1[[#This Row],[Minecraft Season Pass]]="No"), "1", "0")*1</f>
        <v>0</v>
      </c>
    </row>
    <row r="172" spans="1:19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24">
        <f>IF(Tabela1[[#This Row],[EA Play Season Pass]]="Yes",1,0)</f>
        <v>0</v>
      </c>
      <c r="J172" s="11" t="s">
        <v>311</v>
      </c>
      <c r="K172" s="8" t="s">
        <v>19</v>
      </c>
      <c r="L172" s="24">
        <f>IF(Tabela1[[#This Row],[Minecraft Season Pass]]="Yes",1,0)</f>
        <v>1</v>
      </c>
      <c r="M172" s="11">
        <v>20</v>
      </c>
      <c r="N172" s="11">
        <v>10</v>
      </c>
      <c r="O172" s="11">
        <v>20</v>
      </c>
      <c r="P172" s="23">
        <f>IF(AND(Tabela1[[#This Row],[EA Play Season Pass]]="yes",Tabela1[[#This Row],[Minecraft Season Pass]]="Yes"), "1", "0")*1</f>
        <v>0</v>
      </c>
      <c r="Q172" s="23">
        <f>IF(AND(Tabela1[[#This Row],[EA Play Season Pass]]="No",Tabela1[[#This Row],[Minecraft Season Pass]]="No"), "1", "0")*1</f>
        <v>0</v>
      </c>
      <c r="R172" s="28">
        <f>IF(AND(Tabela1[[#This Row],[EA Play Season Pass]]="No",Tabela1[[#This Row],[Minecraft Season Pass]]="Yes"), "1", "0")*1</f>
        <v>1</v>
      </c>
      <c r="S172" s="28">
        <f>IF(AND(Tabela1[[#This Row],[EA Play Season Pass]]="Yes",Tabela1[[#This Row],[Minecraft Season Pass]]="No"), "1", "0")*1</f>
        <v>0</v>
      </c>
    </row>
    <row r="173" spans="1:19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24">
        <f>IF(Tabela1[[#This Row],[EA Play Season Pass]]="Yes",1,0)</f>
        <v>0</v>
      </c>
      <c r="J173" s="11" t="s">
        <v>311</v>
      </c>
      <c r="K173" s="8" t="s">
        <v>23</v>
      </c>
      <c r="L173" s="24">
        <f>IF(Tabela1[[#This Row],[Minecraft Season Pass]]="Yes",1,0)</f>
        <v>0</v>
      </c>
      <c r="M173" s="11">
        <v>0</v>
      </c>
      <c r="N173" s="11">
        <v>0</v>
      </c>
      <c r="O173" s="11">
        <v>5</v>
      </c>
      <c r="P173" s="23">
        <f>IF(AND(Tabela1[[#This Row],[EA Play Season Pass]]="yes",Tabela1[[#This Row],[Minecraft Season Pass]]="Yes"), "1", "0")*1</f>
        <v>0</v>
      </c>
      <c r="Q173" s="23">
        <f>IF(AND(Tabela1[[#This Row],[EA Play Season Pass]]="No",Tabela1[[#This Row],[Minecraft Season Pass]]="No"), "1", "0")*1</f>
        <v>1</v>
      </c>
      <c r="R173" s="28">
        <f>IF(AND(Tabela1[[#This Row],[EA Play Season Pass]]="No",Tabela1[[#This Row],[Minecraft Season Pass]]="Yes"), "1", "0")*1</f>
        <v>0</v>
      </c>
      <c r="S173" s="28">
        <f>IF(AND(Tabela1[[#This Row],[EA Play Season Pass]]="Yes",Tabela1[[#This Row],[Minecraft Season Pass]]="No"), "1", "0")*1</f>
        <v>0</v>
      </c>
    </row>
    <row r="174" spans="1:19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24">
        <f>IF(Tabela1[[#This Row],[EA Play Season Pass]]="Yes",1,0)</f>
        <v>1</v>
      </c>
      <c r="J174" s="11">
        <v>30</v>
      </c>
      <c r="K174" s="8" t="s">
        <v>19</v>
      </c>
      <c r="L174" s="24">
        <f>IF(Tabela1[[#This Row],[Minecraft Season Pass]]="Yes",1,0)</f>
        <v>1</v>
      </c>
      <c r="M174" s="11">
        <v>20</v>
      </c>
      <c r="N174" s="11">
        <v>3</v>
      </c>
      <c r="O174" s="11">
        <v>62</v>
      </c>
      <c r="P174" s="23">
        <f>IF(AND(Tabela1[[#This Row],[EA Play Season Pass]]="yes",Tabela1[[#This Row],[Minecraft Season Pass]]="Yes"), "1", "0")*1</f>
        <v>1</v>
      </c>
      <c r="Q174" s="23">
        <f>IF(AND(Tabela1[[#This Row],[EA Play Season Pass]]="No",Tabela1[[#This Row],[Minecraft Season Pass]]="No"), "1", "0")*1</f>
        <v>0</v>
      </c>
      <c r="R174" s="28">
        <f>IF(AND(Tabela1[[#This Row],[EA Play Season Pass]]="No",Tabela1[[#This Row],[Minecraft Season Pass]]="Yes"), "1", "0")*1</f>
        <v>0</v>
      </c>
      <c r="S174" s="28">
        <f>IF(AND(Tabela1[[#This Row],[EA Play Season Pass]]="Yes",Tabela1[[#This Row],[Minecraft Season Pass]]="No"), "1", "0")*1</f>
        <v>0</v>
      </c>
    </row>
    <row r="175" spans="1:19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24">
        <f>IF(Tabela1[[#This Row],[EA Play Season Pass]]="Yes",1,0)</f>
        <v>0</v>
      </c>
      <c r="J175" s="11" t="s">
        <v>311</v>
      </c>
      <c r="K175" s="8" t="s">
        <v>19</v>
      </c>
      <c r="L175" s="24">
        <f>IF(Tabela1[[#This Row],[Minecraft Season Pass]]="Yes",1,0)</f>
        <v>1</v>
      </c>
      <c r="M175" s="11">
        <v>20</v>
      </c>
      <c r="N175" s="11">
        <v>15</v>
      </c>
      <c r="O175" s="11">
        <v>15</v>
      </c>
      <c r="P175" s="23">
        <f>IF(AND(Tabela1[[#This Row],[EA Play Season Pass]]="yes",Tabela1[[#This Row],[Minecraft Season Pass]]="Yes"), "1", "0")*1</f>
        <v>0</v>
      </c>
      <c r="Q175" s="23">
        <f>IF(AND(Tabela1[[#This Row],[EA Play Season Pass]]="No",Tabela1[[#This Row],[Minecraft Season Pass]]="No"), "1", "0")*1</f>
        <v>0</v>
      </c>
      <c r="R175" s="28">
        <f>IF(AND(Tabela1[[#This Row],[EA Play Season Pass]]="No",Tabela1[[#This Row],[Minecraft Season Pass]]="Yes"), "1", "0")*1</f>
        <v>1</v>
      </c>
      <c r="S175" s="28">
        <f>IF(AND(Tabela1[[#This Row],[EA Play Season Pass]]="Yes",Tabela1[[#This Row],[Minecraft Season Pass]]="No"), "1", "0")*1</f>
        <v>0</v>
      </c>
    </row>
    <row r="176" spans="1:19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24">
        <f>IF(Tabela1[[#This Row],[EA Play Season Pass]]="Yes",1,0)</f>
        <v>0</v>
      </c>
      <c r="J176" s="11" t="s">
        <v>311</v>
      </c>
      <c r="K176" s="8" t="s">
        <v>23</v>
      </c>
      <c r="L176" s="24">
        <f>IF(Tabela1[[#This Row],[Minecraft Season Pass]]="Yes",1,0)</f>
        <v>0</v>
      </c>
      <c r="M176" s="11">
        <v>0</v>
      </c>
      <c r="N176" s="11">
        <v>1</v>
      </c>
      <c r="O176" s="11">
        <v>4</v>
      </c>
      <c r="P176" s="23">
        <f>IF(AND(Tabela1[[#This Row],[EA Play Season Pass]]="yes",Tabela1[[#This Row],[Minecraft Season Pass]]="Yes"), "1", "0")*1</f>
        <v>0</v>
      </c>
      <c r="Q176" s="23">
        <f>IF(AND(Tabela1[[#This Row],[EA Play Season Pass]]="No",Tabela1[[#This Row],[Minecraft Season Pass]]="No"), "1", "0")*1</f>
        <v>1</v>
      </c>
      <c r="R176" s="28">
        <f>IF(AND(Tabela1[[#This Row],[EA Play Season Pass]]="No",Tabela1[[#This Row],[Minecraft Season Pass]]="Yes"), "1", "0")*1</f>
        <v>0</v>
      </c>
      <c r="S176" s="28">
        <f>IF(AND(Tabela1[[#This Row],[EA Play Season Pass]]="Yes",Tabela1[[#This Row],[Minecraft Season Pass]]="No"), "1", "0")*1</f>
        <v>0</v>
      </c>
    </row>
    <row r="177" spans="1:19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24">
        <f>IF(Tabela1[[#This Row],[EA Play Season Pass]]="Yes",1,0)</f>
        <v>0</v>
      </c>
      <c r="J177" s="11" t="s">
        <v>311</v>
      </c>
      <c r="K177" s="8" t="s">
        <v>23</v>
      </c>
      <c r="L177" s="24">
        <f>IF(Tabela1[[#This Row],[Minecraft Season Pass]]="Yes",1,0)</f>
        <v>0</v>
      </c>
      <c r="M177" s="11">
        <v>0</v>
      </c>
      <c r="N177" s="11">
        <v>0</v>
      </c>
      <c r="O177" s="11">
        <v>5</v>
      </c>
      <c r="P177" s="23">
        <f>IF(AND(Tabela1[[#This Row],[EA Play Season Pass]]="yes",Tabela1[[#This Row],[Minecraft Season Pass]]="Yes"), "1", "0")*1</f>
        <v>0</v>
      </c>
      <c r="Q177" s="23">
        <f>IF(AND(Tabela1[[#This Row],[EA Play Season Pass]]="No",Tabela1[[#This Row],[Minecraft Season Pass]]="No"), "1", "0")*1</f>
        <v>1</v>
      </c>
      <c r="R177" s="28">
        <f>IF(AND(Tabela1[[#This Row],[EA Play Season Pass]]="No",Tabela1[[#This Row],[Minecraft Season Pass]]="Yes"), "1", "0")*1</f>
        <v>0</v>
      </c>
      <c r="S177" s="28">
        <f>IF(AND(Tabela1[[#This Row],[EA Play Season Pass]]="Yes",Tabela1[[#This Row],[Minecraft Season Pass]]="No"), "1", "0")*1</f>
        <v>0</v>
      </c>
    </row>
    <row r="178" spans="1:19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24">
        <f>IF(Tabela1[[#This Row],[EA Play Season Pass]]="Yes",1,0)</f>
        <v>1</v>
      </c>
      <c r="J178" s="11">
        <v>30</v>
      </c>
      <c r="K178" s="8" t="s">
        <v>19</v>
      </c>
      <c r="L178" s="24">
        <f>IF(Tabela1[[#This Row],[Minecraft Season Pass]]="Yes",1,0)</f>
        <v>1</v>
      </c>
      <c r="M178" s="11">
        <v>20</v>
      </c>
      <c r="N178" s="11">
        <v>7</v>
      </c>
      <c r="O178" s="11">
        <v>58</v>
      </c>
      <c r="P178" s="23">
        <f>IF(AND(Tabela1[[#This Row],[EA Play Season Pass]]="yes",Tabela1[[#This Row],[Minecraft Season Pass]]="Yes"), "1", "0")*1</f>
        <v>1</v>
      </c>
      <c r="Q178" s="23">
        <f>IF(AND(Tabela1[[#This Row],[EA Play Season Pass]]="No",Tabela1[[#This Row],[Minecraft Season Pass]]="No"), "1", "0")*1</f>
        <v>0</v>
      </c>
      <c r="R178" s="28">
        <f>IF(AND(Tabela1[[#This Row],[EA Play Season Pass]]="No",Tabela1[[#This Row],[Minecraft Season Pass]]="Yes"), "1", "0")*1</f>
        <v>0</v>
      </c>
      <c r="S178" s="28">
        <f>IF(AND(Tabela1[[#This Row],[EA Play Season Pass]]="Yes",Tabela1[[#This Row],[Minecraft Season Pass]]="No"), "1", "0")*1</f>
        <v>0</v>
      </c>
    </row>
    <row r="179" spans="1:19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24">
        <f>IF(Tabela1[[#This Row],[EA Play Season Pass]]="Yes",1,0)</f>
        <v>0</v>
      </c>
      <c r="J179" s="11" t="s">
        <v>311</v>
      </c>
      <c r="K179" s="8" t="s">
        <v>19</v>
      </c>
      <c r="L179" s="24">
        <f>IF(Tabela1[[#This Row],[Minecraft Season Pass]]="Yes",1,0)</f>
        <v>1</v>
      </c>
      <c r="M179" s="11">
        <v>20</v>
      </c>
      <c r="N179" s="11">
        <v>10</v>
      </c>
      <c r="O179" s="11">
        <v>20</v>
      </c>
      <c r="P179" s="23">
        <f>IF(AND(Tabela1[[#This Row],[EA Play Season Pass]]="yes",Tabela1[[#This Row],[Minecraft Season Pass]]="Yes"), "1", "0")*1</f>
        <v>0</v>
      </c>
      <c r="Q179" s="23">
        <f>IF(AND(Tabela1[[#This Row],[EA Play Season Pass]]="No",Tabela1[[#This Row],[Minecraft Season Pass]]="No"), "1", "0")*1</f>
        <v>0</v>
      </c>
      <c r="R179" s="28">
        <f>IF(AND(Tabela1[[#This Row],[EA Play Season Pass]]="No",Tabela1[[#This Row],[Minecraft Season Pass]]="Yes"), "1", "0")*1</f>
        <v>1</v>
      </c>
      <c r="S179" s="28">
        <f>IF(AND(Tabela1[[#This Row],[EA Play Season Pass]]="Yes",Tabela1[[#This Row],[Minecraft Season Pass]]="No"), "1", "0")*1</f>
        <v>0</v>
      </c>
    </row>
    <row r="180" spans="1:19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24">
        <f>IF(Tabela1[[#This Row],[EA Play Season Pass]]="Yes",1,0)</f>
        <v>0</v>
      </c>
      <c r="J180" s="11" t="s">
        <v>311</v>
      </c>
      <c r="K180" s="8" t="s">
        <v>23</v>
      </c>
      <c r="L180" s="24">
        <f>IF(Tabela1[[#This Row],[Minecraft Season Pass]]="Yes",1,0)</f>
        <v>0</v>
      </c>
      <c r="M180" s="11">
        <v>0</v>
      </c>
      <c r="N180" s="11">
        <v>1</v>
      </c>
      <c r="O180" s="11">
        <v>4</v>
      </c>
      <c r="P180" s="23">
        <f>IF(AND(Tabela1[[#This Row],[EA Play Season Pass]]="yes",Tabela1[[#This Row],[Minecraft Season Pass]]="Yes"), "1", "0")*1</f>
        <v>0</v>
      </c>
      <c r="Q180" s="23">
        <f>IF(AND(Tabela1[[#This Row],[EA Play Season Pass]]="No",Tabela1[[#This Row],[Minecraft Season Pass]]="No"), "1", "0")*1</f>
        <v>1</v>
      </c>
      <c r="R180" s="28">
        <f>IF(AND(Tabela1[[#This Row],[EA Play Season Pass]]="No",Tabela1[[#This Row],[Minecraft Season Pass]]="Yes"), "1", "0")*1</f>
        <v>0</v>
      </c>
      <c r="S180" s="28">
        <f>IF(AND(Tabela1[[#This Row],[EA Play Season Pass]]="Yes",Tabela1[[#This Row],[Minecraft Season Pass]]="No"), "1", "0")*1</f>
        <v>0</v>
      </c>
    </row>
    <row r="181" spans="1:19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24">
        <f>IF(Tabela1[[#This Row],[EA Play Season Pass]]="Yes",1,0)</f>
        <v>1</v>
      </c>
      <c r="J181" s="11">
        <v>30</v>
      </c>
      <c r="K181" s="8" t="s">
        <v>19</v>
      </c>
      <c r="L181" s="24">
        <f>IF(Tabela1[[#This Row],[Minecraft Season Pass]]="Yes",1,0)</f>
        <v>1</v>
      </c>
      <c r="M181" s="11">
        <v>20</v>
      </c>
      <c r="N181" s="11">
        <v>15</v>
      </c>
      <c r="O181" s="11">
        <v>50</v>
      </c>
      <c r="P181" s="23">
        <f>IF(AND(Tabela1[[#This Row],[EA Play Season Pass]]="yes",Tabela1[[#This Row],[Minecraft Season Pass]]="Yes"), "1", "0")*1</f>
        <v>1</v>
      </c>
      <c r="Q181" s="23">
        <f>IF(AND(Tabela1[[#This Row],[EA Play Season Pass]]="No",Tabela1[[#This Row],[Minecraft Season Pass]]="No"), "1", "0")*1</f>
        <v>0</v>
      </c>
      <c r="R181" s="28">
        <f>IF(AND(Tabela1[[#This Row],[EA Play Season Pass]]="No",Tabela1[[#This Row],[Minecraft Season Pass]]="Yes"), "1", "0")*1</f>
        <v>0</v>
      </c>
      <c r="S181" s="28">
        <f>IF(AND(Tabela1[[#This Row],[EA Play Season Pass]]="Yes",Tabela1[[#This Row],[Minecraft Season Pass]]="No"), "1", "0")*1</f>
        <v>0</v>
      </c>
    </row>
    <row r="182" spans="1:19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24">
        <f>IF(Tabela1[[#This Row],[EA Play Season Pass]]="Yes",1,0)</f>
        <v>0</v>
      </c>
      <c r="J182" s="11" t="s">
        <v>311</v>
      </c>
      <c r="K182" s="8" t="s">
        <v>19</v>
      </c>
      <c r="L182" s="24">
        <f>IF(Tabela1[[#This Row],[Minecraft Season Pass]]="Yes",1,0)</f>
        <v>1</v>
      </c>
      <c r="M182" s="11">
        <v>20</v>
      </c>
      <c r="N182" s="11">
        <v>5</v>
      </c>
      <c r="O182" s="11">
        <v>25</v>
      </c>
      <c r="P182" s="23">
        <f>IF(AND(Tabela1[[#This Row],[EA Play Season Pass]]="yes",Tabela1[[#This Row],[Minecraft Season Pass]]="Yes"), "1", "0")*1</f>
        <v>0</v>
      </c>
      <c r="Q182" s="23">
        <f>IF(AND(Tabela1[[#This Row],[EA Play Season Pass]]="No",Tabela1[[#This Row],[Minecraft Season Pass]]="No"), "1", "0")*1</f>
        <v>0</v>
      </c>
      <c r="R182" s="28">
        <f>IF(AND(Tabela1[[#This Row],[EA Play Season Pass]]="No",Tabela1[[#This Row],[Minecraft Season Pass]]="Yes"), "1", "0")*1</f>
        <v>1</v>
      </c>
      <c r="S182" s="28">
        <f>IF(AND(Tabela1[[#This Row],[EA Play Season Pass]]="Yes",Tabela1[[#This Row],[Minecraft Season Pass]]="No"), "1", "0")*1</f>
        <v>0</v>
      </c>
    </row>
    <row r="183" spans="1:19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24">
        <f>IF(Tabela1[[#This Row],[EA Play Season Pass]]="Yes",1,0)</f>
        <v>0</v>
      </c>
      <c r="J183" s="11" t="s">
        <v>311</v>
      </c>
      <c r="K183" s="8" t="s">
        <v>23</v>
      </c>
      <c r="L183" s="24">
        <f>IF(Tabela1[[#This Row],[Minecraft Season Pass]]="Yes",1,0)</f>
        <v>0</v>
      </c>
      <c r="M183" s="11">
        <v>0</v>
      </c>
      <c r="N183" s="11">
        <v>0</v>
      </c>
      <c r="O183" s="11">
        <v>5</v>
      </c>
      <c r="P183" s="23">
        <f>IF(AND(Tabela1[[#This Row],[EA Play Season Pass]]="yes",Tabela1[[#This Row],[Minecraft Season Pass]]="Yes"), "1", "0")*1</f>
        <v>0</v>
      </c>
      <c r="Q183" s="23">
        <f>IF(AND(Tabela1[[#This Row],[EA Play Season Pass]]="No",Tabela1[[#This Row],[Minecraft Season Pass]]="No"), "1", "0")*1</f>
        <v>1</v>
      </c>
      <c r="R183" s="28">
        <f>IF(AND(Tabela1[[#This Row],[EA Play Season Pass]]="No",Tabela1[[#This Row],[Minecraft Season Pass]]="Yes"), "1", "0")*1</f>
        <v>0</v>
      </c>
      <c r="S183" s="28">
        <f>IF(AND(Tabela1[[#This Row],[EA Play Season Pass]]="Yes",Tabela1[[#This Row],[Minecraft Season Pass]]="No"), "1", "0")*1</f>
        <v>0</v>
      </c>
    </row>
    <row r="184" spans="1:19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24">
        <f>IF(Tabela1[[#This Row],[EA Play Season Pass]]="Yes",1,0)</f>
        <v>1</v>
      </c>
      <c r="J184" s="11">
        <v>30</v>
      </c>
      <c r="K184" s="8" t="s">
        <v>19</v>
      </c>
      <c r="L184" s="24">
        <f>IF(Tabela1[[#This Row],[Minecraft Season Pass]]="Yes",1,0)</f>
        <v>1</v>
      </c>
      <c r="M184" s="11">
        <v>20</v>
      </c>
      <c r="N184" s="11">
        <v>20</v>
      </c>
      <c r="O184" s="11">
        <v>45</v>
      </c>
      <c r="P184" s="23">
        <f>IF(AND(Tabela1[[#This Row],[EA Play Season Pass]]="yes",Tabela1[[#This Row],[Minecraft Season Pass]]="Yes"), "1", "0")*1</f>
        <v>1</v>
      </c>
      <c r="Q184" s="23">
        <f>IF(AND(Tabela1[[#This Row],[EA Play Season Pass]]="No",Tabela1[[#This Row],[Minecraft Season Pass]]="No"), "1", "0")*1</f>
        <v>0</v>
      </c>
      <c r="R184" s="28">
        <f>IF(AND(Tabela1[[#This Row],[EA Play Season Pass]]="No",Tabela1[[#This Row],[Minecraft Season Pass]]="Yes"), "1", "0")*1</f>
        <v>0</v>
      </c>
      <c r="S184" s="28">
        <f>IF(AND(Tabela1[[#This Row],[EA Play Season Pass]]="Yes",Tabela1[[#This Row],[Minecraft Season Pass]]="No"), "1", "0")*1</f>
        <v>0</v>
      </c>
    </row>
    <row r="185" spans="1:19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24">
        <f>IF(Tabela1[[#This Row],[EA Play Season Pass]]="Yes",1,0)</f>
        <v>0</v>
      </c>
      <c r="J185" s="11" t="s">
        <v>311</v>
      </c>
      <c r="K185" s="8" t="s">
        <v>19</v>
      </c>
      <c r="L185" s="24">
        <f>IF(Tabela1[[#This Row],[Minecraft Season Pass]]="Yes",1,0)</f>
        <v>1</v>
      </c>
      <c r="M185" s="11">
        <v>20</v>
      </c>
      <c r="N185" s="11">
        <v>12</v>
      </c>
      <c r="O185" s="11">
        <v>18</v>
      </c>
      <c r="P185" s="23">
        <f>IF(AND(Tabela1[[#This Row],[EA Play Season Pass]]="yes",Tabela1[[#This Row],[Minecraft Season Pass]]="Yes"), "1", "0")*1</f>
        <v>0</v>
      </c>
      <c r="Q185" s="23">
        <f>IF(AND(Tabela1[[#This Row],[EA Play Season Pass]]="No",Tabela1[[#This Row],[Minecraft Season Pass]]="No"), "1", "0")*1</f>
        <v>0</v>
      </c>
      <c r="R185" s="28">
        <f>IF(AND(Tabela1[[#This Row],[EA Play Season Pass]]="No",Tabela1[[#This Row],[Minecraft Season Pass]]="Yes"), "1", "0")*1</f>
        <v>1</v>
      </c>
      <c r="S185" s="28">
        <f>IF(AND(Tabela1[[#This Row],[EA Play Season Pass]]="Yes",Tabela1[[#This Row],[Minecraft Season Pass]]="No"), "1", "0")*1</f>
        <v>0</v>
      </c>
    </row>
    <row r="186" spans="1:19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24">
        <f>IF(Tabela1[[#This Row],[EA Play Season Pass]]="Yes",1,0)</f>
        <v>0</v>
      </c>
      <c r="J186" s="11" t="s">
        <v>311</v>
      </c>
      <c r="K186" s="8" t="s">
        <v>23</v>
      </c>
      <c r="L186" s="24">
        <f>IF(Tabela1[[#This Row],[Minecraft Season Pass]]="Yes",1,0)</f>
        <v>0</v>
      </c>
      <c r="M186" s="11">
        <v>0</v>
      </c>
      <c r="N186" s="11">
        <v>2</v>
      </c>
      <c r="O186" s="11">
        <v>3</v>
      </c>
      <c r="P186" s="23">
        <f>IF(AND(Tabela1[[#This Row],[EA Play Season Pass]]="yes",Tabela1[[#This Row],[Minecraft Season Pass]]="Yes"), "1", "0")*1</f>
        <v>0</v>
      </c>
      <c r="Q186" s="23">
        <f>IF(AND(Tabela1[[#This Row],[EA Play Season Pass]]="No",Tabela1[[#This Row],[Minecraft Season Pass]]="No"), "1", "0")*1</f>
        <v>1</v>
      </c>
      <c r="R186" s="28">
        <f>IF(AND(Tabela1[[#This Row],[EA Play Season Pass]]="No",Tabela1[[#This Row],[Minecraft Season Pass]]="Yes"), "1", "0")*1</f>
        <v>0</v>
      </c>
      <c r="S186" s="28">
        <f>IF(AND(Tabela1[[#This Row],[EA Play Season Pass]]="Yes",Tabela1[[#This Row],[Minecraft Season Pass]]="No"), "1", "0")*1</f>
        <v>0</v>
      </c>
    </row>
    <row r="187" spans="1:19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24">
        <f>IF(Tabela1[[#This Row],[EA Play Season Pass]]="Yes",1,0)</f>
        <v>1</v>
      </c>
      <c r="J187" s="11">
        <v>30</v>
      </c>
      <c r="K187" s="8" t="s">
        <v>19</v>
      </c>
      <c r="L187" s="24">
        <f>IF(Tabela1[[#This Row],[Minecraft Season Pass]]="Yes",1,0)</f>
        <v>1</v>
      </c>
      <c r="M187" s="11">
        <v>20</v>
      </c>
      <c r="N187" s="11">
        <v>5</v>
      </c>
      <c r="O187" s="11">
        <v>60</v>
      </c>
      <c r="P187" s="23">
        <f>IF(AND(Tabela1[[#This Row],[EA Play Season Pass]]="yes",Tabela1[[#This Row],[Minecraft Season Pass]]="Yes"), "1", "0")*1</f>
        <v>1</v>
      </c>
      <c r="Q187" s="23">
        <f>IF(AND(Tabela1[[#This Row],[EA Play Season Pass]]="No",Tabela1[[#This Row],[Minecraft Season Pass]]="No"), "1", "0")*1</f>
        <v>0</v>
      </c>
      <c r="R187" s="28">
        <f>IF(AND(Tabela1[[#This Row],[EA Play Season Pass]]="No",Tabela1[[#This Row],[Minecraft Season Pass]]="Yes"), "1", "0")*1</f>
        <v>0</v>
      </c>
      <c r="S187" s="28">
        <f>IF(AND(Tabela1[[#This Row],[EA Play Season Pass]]="Yes",Tabela1[[#This Row],[Minecraft Season Pass]]="No"), "1", "0")*1</f>
        <v>0</v>
      </c>
    </row>
    <row r="188" spans="1:19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24">
        <f>IF(Tabela1[[#This Row],[EA Play Season Pass]]="Yes",1,0)</f>
        <v>0</v>
      </c>
      <c r="J188" s="11" t="s">
        <v>311</v>
      </c>
      <c r="K188" s="8" t="s">
        <v>19</v>
      </c>
      <c r="L188" s="24">
        <f>IF(Tabela1[[#This Row],[Minecraft Season Pass]]="Yes",1,0)</f>
        <v>1</v>
      </c>
      <c r="M188" s="11">
        <v>20</v>
      </c>
      <c r="N188" s="11">
        <v>10</v>
      </c>
      <c r="O188" s="11">
        <v>20</v>
      </c>
      <c r="P188" s="23">
        <f>IF(AND(Tabela1[[#This Row],[EA Play Season Pass]]="yes",Tabela1[[#This Row],[Minecraft Season Pass]]="Yes"), "1", "0")*1</f>
        <v>0</v>
      </c>
      <c r="Q188" s="23">
        <f>IF(AND(Tabela1[[#This Row],[EA Play Season Pass]]="No",Tabela1[[#This Row],[Minecraft Season Pass]]="No"), "1", "0")*1</f>
        <v>0</v>
      </c>
      <c r="R188" s="28">
        <f>IF(AND(Tabela1[[#This Row],[EA Play Season Pass]]="No",Tabela1[[#This Row],[Minecraft Season Pass]]="Yes"), "1", "0")*1</f>
        <v>1</v>
      </c>
      <c r="S188" s="28">
        <f>IF(AND(Tabela1[[#This Row],[EA Play Season Pass]]="Yes",Tabela1[[#This Row],[Minecraft Season Pass]]="No"), "1", "0")*1</f>
        <v>0</v>
      </c>
    </row>
    <row r="189" spans="1:19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24">
        <f>IF(Tabela1[[#This Row],[EA Play Season Pass]]="Yes",1,0)</f>
        <v>0</v>
      </c>
      <c r="J189" s="11" t="s">
        <v>311</v>
      </c>
      <c r="K189" s="8" t="s">
        <v>23</v>
      </c>
      <c r="L189" s="24">
        <f>IF(Tabela1[[#This Row],[Minecraft Season Pass]]="Yes",1,0)</f>
        <v>0</v>
      </c>
      <c r="M189" s="11">
        <v>0</v>
      </c>
      <c r="N189" s="11">
        <v>0</v>
      </c>
      <c r="O189" s="11">
        <v>5</v>
      </c>
      <c r="P189" s="23">
        <f>IF(AND(Tabela1[[#This Row],[EA Play Season Pass]]="yes",Tabela1[[#This Row],[Minecraft Season Pass]]="Yes"), "1", "0")*1</f>
        <v>0</v>
      </c>
      <c r="Q189" s="23">
        <f>IF(AND(Tabela1[[#This Row],[EA Play Season Pass]]="No",Tabela1[[#This Row],[Minecraft Season Pass]]="No"), "1", "0")*1</f>
        <v>1</v>
      </c>
      <c r="R189" s="28">
        <f>IF(AND(Tabela1[[#This Row],[EA Play Season Pass]]="No",Tabela1[[#This Row],[Minecraft Season Pass]]="Yes"), "1", "0")*1</f>
        <v>0</v>
      </c>
      <c r="S189" s="28">
        <f>IF(AND(Tabela1[[#This Row],[EA Play Season Pass]]="Yes",Tabela1[[#This Row],[Minecraft Season Pass]]="No"), "1", "0")*1</f>
        <v>0</v>
      </c>
    </row>
    <row r="190" spans="1:19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24">
        <f>IF(Tabela1[[#This Row],[EA Play Season Pass]]="Yes",1,0)</f>
        <v>1</v>
      </c>
      <c r="J190" s="11">
        <v>30</v>
      </c>
      <c r="K190" s="8" t="s">
        <v>19</v>
      </c>
      <c r="L190" s="24">
        <f>IF(Tabela1[[#This Row],[Minecraft Season Pass]]="Yes",1,0)</f>
        <v>1</v>
      </c>
      <c r="M190" s="11">
        <v>20</v>
      </c>
      <c r="N190" s="11">
        <v>3</v>
      </c>
      <c r="O190" s="11">
        <v>62</v>
      </c>
      <c r="P190" s="23">
        <f>IF(AND(Tabela1[[#This Row],[EA Play Season Pass]]="yes",Tabela1[[#This Row],[Minecraft Season Pass]]="Yes"), "1", "0")*1</f>
        <v>1</v>
      </c>
      <c r="Q190" s="23">
        <f>IF(AND(Tabela1[[#This Row],[EA Play Season Pass]]="No",Tabela1[[#This Row],[Minecraft Season Pass]]="No"), "1", "0")*1</f>
        <v>0</v>
      </c>
      <c r="R190" s="28">
        <f>IF(AND(Tabela1[[#This Row],[EA Play Season Pass]]="No",Tabela1[[#This Row],[Minecraft Season Pass]]="Yes"), "1", "0")*1</f>
        <v>0</v>
      </c>
      <c r="S190" s="28">
        <f>IF(AND(Tabela1[[#This Row],[EA Play Season Pass]]="Yes",Tabela1[[#This Row],[Minecraft Season Pass]]="No"), "1", "0")*1</f>
        <v>0</v>
      </c>
    </row>
    <row r="191" spans="1:19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24">
        <f>IF(Tabela1[[#This Row],[EA Play Season Pass]]="Yes",1,0)</f>
        <v>0</v>
      </c>
      <c r="J191" s="11" t="s">
        <v>311</v>
      </c>
      <c r="K191" s="8" t="s">
        <v>19</v>
      </c>
      <c r="L191" s="24">
        <f>IF(Tabela1[[#This Row],[Minecraft Season Pass]]="Yes",1,0)</f>
        <v>1</v>
      </c>
      <c r="M191" s="11">
        <v>20</v>
      </c>
      <c r="N191" s="11">
        <v>15</v>
      </c>
      <c r="O191" s="11">
        <v>15</v>
      </c>
      <c r="P191" s="23">
        <f>IF(AND(Tabela1[[#This Row],[EA Play Season Pass]]="yes",Tabela1[[#This Row],[Minecraft Season Pass]]="Yes"), "1", "0")*1</f>
        <v>0</v>
      </c>
      <c r="Q191" s="23">
        <f>IF(AND(Tabela1[[#This Row],[EA Play Season Pass]]="No",Tabela1[[#This Row],[Minecraft Season Pass]]="No"), "1", "0")*1</f>
        <v>0</v>
      </c>
      <c r="R191" s="28">
        <f>IF(AND(Tabela1[[#This Row],[EA Play Season Pass]]="No",Tabela1[[#This Row],[Minecraft Season Pass]]="Yes"), "1", "0")*1</f>
        <v>1</v>
      </c>
      <c r="S191" s="28">
        <f>IF(AND(Tabela1[[#This Row],[EA Play Season Pass]]="Yes",Tabela1[[#This Row],[Minecraft Season Pass]]="No"), "1", "0")*1</f>
        <v>0</v>
      </c>
    </row>
    <row r="192" spans="1:19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24">
        <f>IF(Tabela1[[#This Row],[EA Play Season Pass]]="Yes",1,0)</f>
        <v>0</v>
      </c>
      <c r="J192" s="11" t="s">
        <v>311</v>
      </c>
      <c r="K192" s="8" t="s">
        <v>23</v>
      </c>
      <c r="L192" s="24">
        <f>IF(Tabela1[[#This Row],[Minecraft Season Pass]]="Yes",1,0)</f>
        <v>0</v>
      </c>
      <c r="M192" s="11">
        <v>0</v>
      </c>
      <c r="N192" s="11">
        <v>1</v>
      </c>
      <c r="O192" s="11">
        <v>4</v>
      </c>
      <c r="P192" s="23">
        <f>IF(AND(Tabela1[[#This Row],[EA Play Season Pass]]="yes",Tabela1[[#This Row],[Minecraft Season Pass]]="Yes"), "1", "0")*1</f>
        <v>0</v>
      </c>
      <c r="Q192" s="23">
        <f>IF(AND(Tabela1[[#This Row],[EA Play Season Pass]]="No",Tabela1[[#This Row],[Minecraft Season Pass]]="No"), "1", "0")*1</f>
        <v>1</v>
      </c>
      <c r="R192" s="28">
        <f>IF(AND(Tabela1[[#This Row],[EA Play Season Pass]]="No",Tabela1[[#This Row],[Minecraft Season Pass]]="Yes"), "1", "0")*1</f>
        <v>0</v>
      </c>
      <c r="S192" s="28">
        <f>IF(AND(Tabela1[[#This Row],[EA Play Season Pass]]="Yes",Tabela1[[#This Row],[Minecraft Season Pass]]="No"), "1", "0")*1</f>
        <v>0</v>
      </c>
    </row>
    <row r="193" spans="1:19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24">
        <f>IF(Tabela1[[#This Row],[EA Play Season Pass]]="Yes",1,0)</f>
        <v>1</v>
      </c>
      <c r="J193" s="11">
        <v>30</v>
      </c>
      <c r="K193" s="8" t="s">
        <v>19</v>
      </c>
      <c r="L193" s="24">
        <f>IF(Tabela1[[#This Row],[Minecraft Season Pass]]="Yes",1,0)</f>
        <v>1</v>
      </c>
      <c r="M193" s="11">
        <v>20</v>
      </c>
      <c r="N193" s="11">
        <v>7</v>
      </c>
      <c r="O193" s="11">
        <v>58</v>
      </c>
      <c r="P193" s="23">
        <f>IF(AND(Tabela1[[#This Row],[EA Play Season Pass]]="yes",Tabela1[[#This Row],[Minecraft Season Pass]]="Yes"), "1", "0")*1</f>
        <v>1</v>
      </c>
      <c r="Q193" s="23">
        <f>IF(AND(Tabela1[[#This Row],[EA Play Season Pass]]="No",Tabela1[[#This Row],[Minecraft Season Pass]]="No"), "1", "0")*1</f>
        <v>0</v>
      </c>
      <c r="R193" s="28">
        <f>IF(AND(Tabela1[[#This Row],[EA Play Season Pass]]="No",Tabela1[[#This Row],[Minecraft Season Pass]]="Yes"), "1", "0")*1</f>
        <v>0</v>
      </c>
      <c r="S193" s="28">
        <f>IF(AND(Tabela1[[#This Row],[EA Play Season Pass]]="Yes",Tabela1[[#This Row],[Minecraft Season Pass]]="No"), "1", "0")*1</f>
        <v>0</v>
      </c>
    </row>
    <row r="194" spans="1:19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24">
        <f>IF(Tabela1[[#This Row],[EA Play Season Pass]]="Yes",1,0)</f>
        <v>0</v>
      </c>
      <c r="J194" s="11" t="s">
        <v>311</v>
      </c>
      <c r="K194" s="8" t="s">
        <v>19</v>
      </c>
      <c r="L194" s="24">
        <f>IF(Tabela1[[#This Row],[Minecraft Season Pass]]="Yes",1,0)</f>
        <v>1</v>
      </c>
      <c r="M194" s="11">
        <v>20</v>
      </c>
      <c r="N194" s="11">
        <v>10</v>
      </c>
      <c r="O194" s="11">
        <v>20</v>
      </c>
      <c r="P194" s="23">
        <f>IF(AND(Tabela1[[#This Row],[EA Play Season Pass]]="yes",Tabela1[[#This Row],[Minecraft Season Pass]]="Yes"), "1", "0")*1</f>
        <v>0</v>
      </c>
      <c r="Q194" s="23">
        <f>IF(AND(Tabela1[[#This Row],[EA Play Season Pass]]="No",Tabela1[[#This Row],[Minecraft Season Pass]]="No"), "1", "0")*1</f>
        <v>0</v>
      </c>
      <c r="R194" s="28">
        <f>IF(AND(Tabela1[[#This Row],[EA Play Season Pass]]="No",Tabela1[[#This Row],[Minecraft Season Pass]]="Yes"), "1", "0")*1</f>
        <v>1</v>
      </c>
      <c r="S194" s="28">
        <f>IF(AND(Tabela1[[#This Row],[EA Play Season Pass]]="Yes",Tabela1[[#This Row],[Minecraft Season Pass]]="No"), "1", "0")*1</f>
        <v>0</v>
      </c>
    </row>
    <row r="195" spans="1:19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24">
        <f>IF(Tabela1[[#This Row],[EA Play Season Pass]]="Yes",1,0)</f>
        <v>0</v>
      </c>
      <c r="J195" s="11" t="s">
        <v>311</v>
      </c>
      <c r="K195" s="8" t="s">
        <v>23</v>
      </c>
      <c r="L195" s="24">
        <f>IF(Tabela1[[#This Row],[Minecraft Season Pass]]="Yes",1,0)</f>
        <v>0</v>
      </c>
      <c r="M195" s="11">
        <v>0</v>
      </c>
      <c r="N195" s="11">
        <v>0</v>
      </c>
      <c r="O195" s="11">
        <v>5</v>
      </c>
      <c r="P195" s="23">
        <f>IF(AND(Tabela1[[#This Row],[EA Play Season Pass]]="yes",Tabela1[[#This Row],[Minecraft Season Pass]]="Yes"), "1", "0")*1</f>
        <v>0</v>
      </c>
      <c r="Q195" s="23">
        <f>IF(AND(Tabela1[[#This Row],[EA Play Season Pass]]="No",Tabela1[[#This Row],[Minecraft Season Pass]]="No"), "1", "0")*1</f>
        <v>1</v>
      </c>
      <c r="R195" s="28">
        <f>IF(AND(Tabela1[[#This Row],[EA Play Season Pass]]="No",Tabela1[[#This Row],[Minecraft Season Pass]]="Yes"), "1", "0")*1</f>
        <v>0</v>
      </c>
      <c r="S195" s="28">
        <f>IF(AND(Tabela1[[#This Row],[EA Play Season Pass]]="Yes",Tabela1[[#This Row],[Minecraft Season Pass]]="No"), "1", "0")*1</f>
        <v>0</v>
      </c>
    </row>
    <row r="196" spans="1:19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24">
        <f>IF(Tabela1[[#This Row],[EA Play Season Pass]]="Yes",1,0)</f>
        <v>1</v>
      </c>
      <c r="J196" s="11">
        <v>30</v>
      </c>
      <c r="K196" s="8" t="s">
        <v>19</v>
      </c>
      <c r="L196" s="24">
        <f>IF(Tabela1[[#This Row],[Minecraft Season Pass]]="Yes",1,0)</f>
        <v>1</v>
      </c>
      <c r="M196" s="11">
        <v>20</v>
      </c>
      <c r="N196" s="11">
        <v>20</v>
      </c>
      <c r="O196" s="11">
        <v>45</v>
      </c>
      <c r="P196" s="23">
        <f>IF(AND(Tabela1[[#This Row],[EA Play Season Pass]]="yes",Tabela1[[#This Row],[Minecraft Season Pass]]="Yes"), "1", "0")*1</f>
        <v>1</v>
      </c>
      <c r="Q196" s="23">
        <f>IF(AND(Tabela1[[#This Row],[EA Play Season Pass]]="No",Tabela1[[#This Row],[Minecraft Season Pass]]="No"), "1", "0")*1</f>
        <v>0</v>
      </c>
      <c r="R196" s="28">
        <f>IF(AND(Tabela1[[#This Row],[EA Play Season Pass]]="No",Tabela1[[#This Row],[Minecraft Season Pass]]="Yes"), "1", "0")*1</f>
        <v>0</v>
      </c>
      <c r="S196" s="28">
        <f>IF(AND(Tabela1[[#This Row],[EA Play Season Pass]]="Yes",Tabela1[[#This Row],[Minecraft Season Pass]]="No"), "1", "0")*1</f>
        <v>0</v>
      </c>
    </row>
    <row r="197" spans="1:19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24">
        <f>IF(Tabela1[[#This Row],[EA Play Season Pass]]="Yes",1,0)</f>
        <v>0</v>
      </c>
      <c r="J197" s="11" t="s">
        <v>311</v>
      </c>
      <c r="K197" s="8" t="s">
        <v>19</v>
      </c>
      <c r="L197" s="24">
        <f>IF(Tabela1[[#This Row],[Minecraft Season Pass]]="Yes",1,0)</f>
        <v>1</v>
      </c>
      <c r="M197" s="11">
        <v>20</v>
      </c>
      <c r="N197" s="11">
        <v>15</v>
      </c>
      <c r="O197" s="11">
        <v>15</v>
      </c>
      <c r="P197" s="23">
        <f>IF(AND(Tabela1[[#This Row],[EA Play Season Pass]]="yes",Tabela1[[#This Row],[Minecraft Season Pass]]="Yes"), "1", "0")*1</f>
        <v>0</v>
      </c>
      <c r="Q197" s="23">
        <f>IF(AND(Tabela1[[#This Row],[EA Play Season Pass]]="No",Tabela1[[#This Row],[Minecraft Season Pass]]="No"), "1", "0")*1</f>
        <v>0</v>
      </c>
      <c r="R197" s="28">
        <f>IF(AND(Tabela1[[#This Row],[EA Play Season Pass]]="No",Tabela1[[#This Row],[Minecraft Season Pass]]="Yes"), "1", "0")*1</f>
        <v>1</v>
      </c>
      <c r="S197" s="28">
        <f>IF(AND(Tabela1[[#This Row],[EA Play Season Pass]]="Yes",Tabela1[[#This Row],[Minecraft Season Pass]]="No"), "1", "0")*1</f>
        <v>0</v>
      </c>
    </row>
    <row r="198" spans="1:19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24">
        <f>IF(Tabela1[[#This Row],[EA Play Season Pass]]="Yes",1,0)</f>
        <v>0</v>
      </c>
      <c r="J198" s="11" t="s">
        <v>311</v>
      </c>
      <c r="K198" s="8" t="s">
        <v>23</v>
      </c>
      <c r="L198" s="24">
        <f>IF(Tabela1[[#This Row],[Minecraft Season Pass]]="Yes",1,0)</f>
        <v>0</v>
      </c>
      <c r="M198" s="11">
        <v>0</v>
      </c>
      <c r="N198" s="11">
        <v>1</v>
      </c>
      <c r="O198" s="11">
        <v>4</v>
      </c>
      <c r="P198" s="23">
        <f>IF(AND(Tabela1[[#This Row],[EA Play Season Pass]]="yes",Tabela1[[#This Row],[Minecraft Season Pass]]="Yes"), "1", "0")*1</f>
        <v>0</v>
      </c>
      <c r="Q198" s="23">
        <f>IF(AND(Tabela1[[#This Row],[EA Play Season Pass]]="No",Tabela1[[#This Row],[Minecraft Season Pass]]="No"), "1", "0")*1</f>
        <v>1</v>
      </c>
      <c r="R198" s="28">
        <f>IF(AND(Tabela1[[#This Row],[EA Play Season Pass]]="No",Tabela1[[#This Row],[Minecraft Season Pass]]="Yes"), "1", "0")*1</f>
        <v>0</v>
      </c>
      <c r="S198" s="28">
        <f>IF(AND(Tabela1[[#This Row],[EA Play Season Pass]]="Yes",Tabela1[[#This Row],[Minecraft Season Pass]]="No"), "1", "0")*1</f>
        <v>0</v>
      </c>
    </row>
    <row r="199" spans="1:19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24">
        <f>IF(Tabela1[[#This Row],[EA Play Season Pass]]="Yes",1,0)</f>
        <v>1</v>
      </c>
      <c r="J199" s="11">
        <v>30</v>
      </c>
      <c r="K199" s="8" t="s">
        <v>19</v>
      </c>
      <c r="L199" s="24">
        <f>IF(Tabela1[[#This Row],[Minecraft Season Pass]]="Yes",1,0)</f>
        <v>1</v>
      </c>
      <c r="M199" s="11">
        <v>20</v>
      </c>
      <c r="N199" s="11">
        <v>3</v>
      </c>
      <c r="O199" s="11">
        <v>62</v>
      </c>
      <c r="P199" s="23">
        <f>IF(AND(Tabela1[[#This Row],[EA Play Season Pass]]="yes",Tabela1[[#This Row],[Minecraft Season Pass]]="Yes"), "1", "0")*1</f>
        <v>1</v>
      </c>
      <c r="Q199" s="23">
        <f>IF(AND(Tabela1[[#This Row],[EA Play Season Pass]]="No",Tabela1[[#This Row],[Minecraft Season Pass]]="No"), "1", "0")*1</f>
        <v>0</v>
      </c>
      <c r="R199" s="28">
        <f>IF(AND(Tabela1[[#This Row],[EA Play Season Pass]]="No",Tabela1[[#This Row],[Minecraft Season Pass]]="Yes"), "1", "0")*1</f>
        <v>0</v>
      </c>
      <c r="S199" s="28">
        <f>IF(AND(Tabela1[[#This Row],[EA Play Season Pass]]="Yes",Tabela1[[#This Row],[Minecraft Season Pass]]="No"), "1", "0")*1</f>
        <v>0</v>
      </c>
    </row>
    <row r="200" spans="1:19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24">
        <f>IF(Tabela1[[#This Row],[EA Play Season Pass]]="Yes",1,0)</f>
        <v>0</v>
      </c>
      <c r="J200" s="11" t="s">
        <v>311</v>
      </c>
      <c r="K200" s="8" t="s">
        <v>19</v>
      </c>
      <c r="L200" s="24">
        <f>IF(Tabela1[[#This Row],[Minecraft Season Pass]]="Yes",1,0)</f>
        <v>1</v>
      </c>
      <c r="M200" s="11">
        <v>20</v>
      </c>
      <c r="N200" s="11">
        <v>10</v>
      </c>
      <c r="O200" s="11">
        <v>20</v>
      </c>
      <c r="P200" s="23">
        <f>IF(AND(Tabela1[[#This Row],[EA Play Season Pass]]="yes",Tabela1[[#This Row],[Minecraft Season Pass]]="Yes"), "1", "0")*1</f>
        <v>0</v>
      </c>
      <c r="Q200" s="23">
        <f>IF(AND(Tabela1[[#This Row],[EA Play Season Pass]]="No",Tabela1[[#This Row],[Minecraft Season Pass]]="No"), "1", "0")*1</f>
        <v>0</v>
      </c>
      <c r="R200" s="28">
        <f>IF(AND(Tabela1[[#This Row],[EA Play Season Pass]]="No",Tabela1[[#This Row],[Minecraft Season Pass]]="Yes"), "1", "0")*1</f>
        <v>1</v>
      </c>
      <c r="S200" s="28">
        <f>IF(AND(Tabela1[[#This Row],[EA Play Season Pass]]="Yes",Tabela1[[#This Row],[Minecraft Season Pass]]="No"), "1", "0")*1</f>
        <v>0</v>
      </c>
    </row>
    <row r="201" spans="1:19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24">
        <f>IF(Tabela1[[#This Row],[EA Play Season Pass]]="Yes",1,0)</f>
        <v>0</v>
      </c>
      <c r="J201" s="11" t="s">
        <v>311</v>
      </c>
      <c r="K201" s="8" t="s">
        <v>23</v>
      </c>
      <c r="L201" s="24">
        <f>IF(Tabela1[[#This Row],[Minecraft Season Pass]]="Yes",1,0)</f>
        <v>0</v>
      </c>
      <c r="M201" s="11">
        <v>0</v>
      </c>
      <c r="N201" s="11">
        <v>0</v>
      </c>
      <c r="O201" s="11">
        <v>5</v>
      </c>
      <c r="P201" s="23">
        <f>IF(AND(Tabela1[[#This Row],[EA Play Season Pass]]="yes",Tabela1[[#This Row],[Minecraft Season Pass]]="Yes"), "1", "0")*1</f>
        <v>0</v>
      </c>
      <c r="Q201" s="23">
        <f>IF(AND(Tabela1[[#This Row],[EA Play Season Pass]]="No",Tabela1[[#This Row],[Minecraft Season Pass]]="No"), "1", "0")*1</f>
        <v>1</v>
      </c>
      <c r="R201" s="28">
        <f>IF(AND(Tabela1[[#This Row],[EA Play Season Pass]]="No",Tabela1[[#This Row],[Minecraft Season Pass]]="Yes"), "1", "0")*1</f>
        <v>0</v>
      </c>
      <c r="S201" s="28">
        <f>IF(AND(Tabela1[[#This Row],[EA Play Season Pass]]="Yes",Tabela1[[#This Row],[Minecraft Season Pass]]="No"), "1", "0")*1</f>
        <v>0</v>
      </c>
    </row>
    <row r="202" spans="1:19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24">
        <f>IF(Tabela1[[#This Row],[EA Play Season Pass]]="Yes",1,0)</f>
        <v>1</v>
      </c>
      <c r="J202" s="11">
        <v>30</v>
      </c>
      <c r="K202" s="8" t="s">
        <v>19</v>
      </c>
      <c r="L202" s="24">
        <f>IF(Tabela1[[#This Row],[Minecraft Season Pass]]="Yes",1,0)</f>
        <v>1</v>
      </c>
      <c r="M202" s="11">
        <v>20</v>
      </c>
      <c r="N202" s="11">
        <v>15</v>
      </c>
      <c r="O202" s="11">
        <v>50</v>
      </c>
      <c r="P202" s="23">
        <f>IF(AND(Tabela1[[#This Row],[EA Play Season Pass]]="yes",Tabela1[[#This Row],[Minecraft Season Pass]]="Yes"), "1", "0")*1</f>
        <v>1</v>
      </c>
      <c r="Q202" s="23">
        <f>IF(AND(Tabela1[[#This Row],[EA Play Season Pass]]="No",Tabela1[[#This Row],[Minecraft Season Pass]]="No"), "1", "0")*1</f>
        <v>0</v>
      </c>
      <c r="R202" s="28">
        <f>IF(AND(Tabela1[[#This Row],[EA Play Season Pass]]="No",Tabela1[[#This Row],[Minecraft Season Pass]]="Yes"), "1", "0")*1</f>
        <v>0</v>
      </c>
      <c r="S202" s="28">
        <f>IF(AND(Tabela1[[#This Row],[EA Play Season Pass]]="Yes",Tabela1[[#This Row],[Minecraft Season Pass]]="No"), "1", "0")*1</f>
        <v>0</v>
      </c>
    </row>
    <row r="203" spans="1:19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24">
        <f>IF(Tabela1[[#This Row],[EA Play Season Pass]]="Yes",1,0)</f>
        <v>0</v>
      </c>
      <c r="J203" s="11" t="s">
        <v>311</v>
      </c>
      <c r="K203" s="8" t="s">
        <v>19</v>
      </c>
      <c r="L203" s="24">
        <f>IF(Tabela1[[#This Row],[Minecraft Season Pass]]="Yes",1,0)</f>
        <v>1</v>
      </c>
      <c r="M203" s="11">
        <v>20</v>
      </c>
      <c r="N203" s="11">
        <v>15</v>
      </c>
      <c r="O203" s="11">
        <v>15</v>
      </c>
      <c r="P203" s="23">
        <f>IF(AND(Tabela1[[#This Row],[EA Play Season Pass]]="yes",Tabela1[[#This Row],[Minecraft Season Pass]]="Yes"), "1", "0")*1</f>
        <v>0</v>
      </c>
      <c r="Q203" s="23">
        <f>IF(AND(Tabela1[[#This Row],[EA Play Season Pass]]="No",Tabela1[[#This Row],[Minecraft Season Pass]]="No"), "1", "0")*1</f>
        <v>0</v>
      </c>
      <c r="R203" s="28">
        <f>IF(AND(Tabela1[[#This Row],[EA Play Season Pass]]="No",Tabela1[[#This Row],[Minecraft Season Pass]]="Yes"), "1", "0")*1</f>
        <v>1</v>
      </c>
      <c r="S203" s="28">
        <f>IF(AND(Tabela1[[#This Row],[EA Play Season Pass]]="Yes",Tabela1[[#This Row],[Minecraft Season Pass]]="No"), "1", "0")*1</f>
        <v>0</v>
      </c>
    </row>
    <row r="204" spans="1:19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24">
        <f>IF(Tabela1[[#This Row],[EA Play Season Pass]]="Yes",1,0)</f>
        <v>0</v>
      </c>
      <c r="J204" s="11" t="s">
        <v>311</v>
      </c>
      <c r="K204" s="8" t="s">
        <v>23</v>
      </c>
      <c r="L204" s="24">
        <f>IF(Tabela1[[#This Row],[Minecraft Season Pass]]="Yes",1,0)</f>
        <v>0</v>
      </c>
      <c r="M204" s="11">
        <v>0</v>
      </c>
      <c r="N204" s="11">
        <v>1</v>
      </c>
      <c r="O204" s="11">
        <v>4</v>
      </c>
      <c r="P204" s="23">
        <f>IF(AND(Tabela1[[#This Row],[EA Play Season Pass]]="yes",Tabela1[[#This Row],[Minecraft Season Pass]]="Yes"), "1", "0")*1</f>
        <v>0</v>
      </c>
      <c r="Q204" s="23">
        <f>IF(AND(Tabela1[[#This Row],[EA Play Season Pass]]="No",Tabela1[[#This Row],[Minecraft Season Pass]]="No"), "1", "0")*1</f>
        <v>1</v>
      </c>
      <c r="R204" s="28">
        <f>IF(AND(Tabela1[[#This Row],[EA Play Season Pass]]="No",Tabela1[[#This Row],[Minecraft Season Pass]]="Yes"), "1", "0")*1</f>
        <v>0</v>
      </c>
      <c r="S204" s="28">
        <f>IF(AND(Tabela1[[#This Row],[EA Play Season Pass]]="Yes",Tabela1[[#This Row],[Minecraft Season Pass]]="No"), "1", "0")*1</f>
        <v>0</v>
      </c>
    </row>
    <row r="205" spans="1:19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24">
        <f>IF(Tabela1[[#This Row],[EA Play Season Pass]]="Yes",1,0)</f>
        <v>1</v>
      </c>
      <c r="J205" s="11">
        <v>30</v>
      </c>
      <c r="K205" s="8" t="s">
        <v>19</v>
      </c>
      <c r="L205" s="24">
        <f>IF(Tabela1[[#This Row],[Minecraft Season Pass]]="Yes",1,0)</f>
        <v>1</v>
      </c>
      <c r="M205" s="11">
        <v>20</v>
      </c>
      <c r="N205" s="11">
        <v>7</v>
      </c>
      <c r="O205" s="11">
        <v>58</v>
      </c>
      <c r="P205" s="23">
        <f>IF(AND(Tabela1[[#This Row],[EA Play Season Pass]]="yes",Tabela1[[#This Row],[Minecraft Season Pass]]="Yes"), "1", "0")*1</f>
        <v>1</v>
      </c>
      <c r="Q205" s="23">
        <f>IF(AND(Tabela1[[#This Row],[EA Play Season Pass]]="No",Tabela1[[#This Row],[Minecraft Season Pass]]="No"), "1", "0")*1</f>
        <v>0</v>
      </c>
      <c r="R205" s="28">
        <f>IF(AND(Tabela1[[#This Row],[EA Play Season Pass]]="No",Tabela1[[#This Row],[Minecraft Season Pass]]="Yes"), "1", "0")*1</f>
        <v>0</v>
      </c>
      <c r="S205" s="28">
        <f>IF(AND(Tabela1[[#This Row],[EA Play Season Pass]]="Yes",Tabela1[[#This Row],[Minecraft Season Pass]]="No"), "1", "0")*1</f>
        <v>0</v>
      </c>
    </row>
    <row r="206" spans="1:19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24">
        <f>IF(Tabela1[[#This Row],[EA Play Season Pass]]="Yes",1,0)</f>
        <v>0</v>
      </c>
      <c r="J206" s="11" t="s">
        <v>311</v>
      </c>
      <c r="K206" s="8" t="s">
        <v>19</v>
      </c>
      <c r="L206" s="24">
        <f>IF(Tabela1[[#This Row],[Minecraft Season Pass]]="Yes",1,0)</f>
        <v>1</v>
      </c>
      <c r="M206" s="11">
        <v>20</v>
      </c>
      <c r="N206" s="11">
        <v>10</v>
      </c>
      <c r="O206" s="11">
        <v>20</v>
      </c>
      <c r="P206" s="23">
        <f>IF(AND(Tabela1[[#This Row],[EA Play Season Pass]]="yes",Tabela1[[#This Row],[Minecraft Season Pass]]="Yes"), "1", "0")*1</f>
        <v>0</v>
      </c>
      <c r="Q206" s="23">
        <f>IF(AND(Tabela1[[#This Row],[EA Play Season Pass]]="No",Tabela1[[#This Row],[Minecraft Season Pass]]="No"), "1", "0")*1</f>
        <v>0</v>
      </c>
      <c r="R206" s="28">
        <f>IF(AND(Tabela1[[#This Row],[EA Play Season Pass]]="No",Tabela1[[#This Row],[Minecraft Season Pass]]="Yes"), "1", "0")*1</f>
        <v>1</v>
      </c>
      <c r="S206" s="28">
        <f>IF(AND(Tabela1[[#This Row],[EA Play Season Pass]]="Yes",Tabela1[[#This Row],[Minecraft Season Pass]]="No"), "1", "0")*1</f>
        <v>0</v>
      </c>
    </row>
    <row r="207" spans="1:19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24">
        <f>IF(Tabela1[[#This Row],[EA Play Season Pass]]="Yes",1,0)</f>
        <v>0</v>
      </c>
      <c r="J207" s="11" t="s">
        <v>311</v>
      </c>
      <c r="K207" s="8" t="s">
        <v>23</v>
      </c>
      <c r="L207" s="24">
        <f>IF(Tabela1[[#This Row],[Minecraft Season Pass]]="Yes",1,0)</f>
        <v>0</v>
      </c>
      <c r="M207" s="11">
        <v>0</v>
      </c>
      <c r="N207" s="11">
        <v>0</v>
      </c>
      <c r="O207" s="11">
        <v>5</v>
      </c>
      <c r="P207" s="23">
        <f>IF(AND(Tabela1[[#This Row],[EA Play Season Pass]]="yes",Tabela1[[#This Row],[Minecraft Season Pass]]="Yes"), "1", "0")*1</f>
        <v>0</v>
      </c>
      <c r="Q207" s="23">
        <f>IF(AND(Tabela1[[#This Row],[EA Play Season Pass]]="No",Tabela1[[#This Row],[Minecraft Season Pass]]="No"), "1", "0")*1</f>
        <v>1</v>
      </c>
      <c r="R207" s="28">
        <f>IF(AND(Tabela1[[#This Row],[EA Play Season Pass]]="No",Tabela1[[#This Row],[Minecraft Season Pass]]="Yes"), "1", "0")*1</f>
        <v>0</v>
      </c>
      <c r="S207" s="28">
        <f>IF(AND(Tabela1[[#This Row],[EA Play Season Pass]]="Yes",Tabela1[[#This Row],[Minecraft Season Pass]]="No"), "1", "0")*1</f>
        <v>0</v>
      </c>
    </row>
    <row r="208" spans="1:19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24">
        <f>IF(Tabela1[[#This Row],[EA Play Season Pass]]="Yes",1,0)</f>
        <v>1</v>
      </c>
      <c r="J208" s="11">
        <v>30</v>
      </c>
      <c r="K208" s="8" t="s">
        <v>19</v>
      </c>
      <c r="L208" s="24">
        <f>IF(Tabela1[[#This Row],[Minecraft Season Pass]]="Yes",1,0)</f>
        <v>1</v>
      </c>
      <c r="M208" s="11">
        <v>20</v>
      </c>
      <c r="N208" s="11">
        <v>7</v>
      </c>
      <c r="O208" s="11">
        <v>58</v>
      </c>
      <c r="P208" s="23">
        <f>IF(AND(Tabela1[[#This Row],[EA Play Season Pass]]="yes",Tabela1[[#This Row],[Minecraft Season Pass]]="Yes"), "1", "0")*1</f>
        <v>1</v>
      </c>
      <c r="Q208" s="23">
        <f>IF(AND(Tabela1[[#This Row],[EA Play Season Pass]]="No",Tabela1[[#This Row],[Minecraft Season Pass]]="No"), "1", "0")*1</f>
        <v>0</v>
      </c>
      <c r="R208" s="28">
        <f>IF(AND(Tabela1[[#This Row],[EA Play Season Pass]]="No",Tabela1[[#This Row],[Minecraft Season Pass]]="Yes"), "1", "0")*1</f>
        <v>0</v>
      </c>
      <c r="S208" s="28">
        <f>IF(AND(Tabela1[[#This Row],[EA Play Season Pass]]="Yes",Tabela1[[#This Row],[Minecraft Season Pass]]="No"), "1", "0")*1</f>
        <v>0</v>
      </c>
    </row>
    <row r="209" spans="1:19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24">
        <f>IF(Tabela1[[#This Row],[EA Play Season Pass]]="Yes",1,0)</f>
        <v>0</v>
      </c>
      <c r="J209" s="11" t="s">
        <v>311</v>
      </c>
      <c r="K209" s="8" t="s">
        <v>19</v>
      </c>
      <c r="L209" s="24">
        <f>IF(Tabela1[[#This Row],[Minecraft Season Pass]]="Yes",1,0)</f>
        <v>1</v>
      </c>
      <c r="M209" s="11">
        <v>20</v>
      </c>
      <c r="N209" s="11">
        <v>10</v>
      </c>
      <c r="O209" s="11">
        <v>20</v>
      </c>
      <c r="P209" s="23">
        <f>IF(AND(Tabela1[[#This Row],[EA Play Season Pass]]="yes",Tabela1[[#This Row],[Minecraft Season Pass]]="Yes"), "1", "0")*1</f>
        <v>0</v>
      </c>
      <c r="Q209" s="23">
        <f>IF(AND(Tabela1[[#This Row],[EA Play Season Pass]]="No",Tabela1[[#This Row],[Minecraft Season Pass]]="No"), "1", "0")*1</f>
        <v>0</v>
      </c>
      <c r="R209" s="28">
        <f>IF(AND(Tabela1[[#This Row],[EA Play Season Pass]]="No",Tabela1[[#This Row],[Minecraft Season Pass]]="Yes"), "1", "0")*1</f>
        <v>1</v>
      </c>
      <c r="S209" s="28">
        <f>IF(AND(Tabela1[[#This Row],[EA Play Season Pass]]="Yes",Tabela1[[#This Row],[Minecraft Season Pass]]="No"), "1", "0")*1</f>
        <v>0</v>
      </c>
    </row>
    <row r="210" spans="1:19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24">
        <f>IF(Tabela1[[#This Row],[EA Play Season Pass]]="Yes",1,0)</f>
        <v>0</v>
      </c>
      <c r="J210" s="11" t="s">
        <v>311</v>
      </c>
      <c r="K210" s="8" t="s">
        <v>23</v>
      </c>
      <c r="L210" s="24">
        <f>IF(Tabela1[[#This Row],[Minecraft Season Pass]]="Yes",1,0)</f>
        <v>0</v>
      </c>
      <c r="M210" s="11">
        <v>0</v>
      </c>
      <c r="N210" s="11">
        <v>1</v>
      </c>
      <c r="O210" s="11">
        <v>4</v>
      </c>
      <c r="P210" s="23">
        <f>IF(AND(Tabela1[[#This Row],[EA Play Season Pass]]="yes",Tabela1[[#This Row],[Minecraft Season Pass]]="Yes"), "1", "0")*1</f>
        <v>0</v>
      </c>
      <c r="Q210" s="23">
        <f>IF(AND(Tabela1[[#This Row],[EA Play Season Pass]]="No",Tabela1[[#This Row],[Minecraft Season Pass]]="No"), "1", "0")*1</f>
        <v>1</v>
      </c>
      <c r="R210" s="28">
        <f>IF(AND(Tabela1[[#This Row],[EA Play Season Pass]]="No",Tabela1[[#This Row],[Minecraft Season Pass]]="Yes"), "1", "0")*1</f>
        <v>0</v>
      </c>
      <c r="S210" s="28">
        <f>IF(AND(Tabela1[[#This Row],[EA Play Season Pass]]="Yes",Tabela1[[#This Row],[Minecraft Season Pass]]="No"), "1", "0")*1</f>
        <v>0</v>
      </c>
    </row>
    <row r="211" spans="1:19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24">
        <f>IF(Tabela1[[#This Row],[EA Play Season Pass]]="Yes",1,0)</f>
        <v>1</v>
      </c>
      <c r="J211" s="11">
        <v>30</v>
      </c>
      <c r="K211" s="8" t="s">
        <v>19</v>
      </c>
      <c r="L211" s="24">
        <f>IF(Tabela1[[#This Row],[Minecraft Season Pass]]="Yes",1,0)</f>
        <v>1</v>
      </c>
      <c r="M211" s="11">
        <v>20</v>
      </c>
      <c r="N211" s="11">
        <v>15</v>
      </c>
      <c r="O211" s="11">
        <v>50</v>
      </c>
      <c r="P211" s="23">
        <f>IF(AND(Tabela1[[#This Row],[EA Play Season Pass]]="yes",Tabela1[[#This Row],[Minecraft Season Pass]]="Yes"), "1", "0")*1</f>
        <v>1</v>
      </c>
      <c r="Q211" s="23">
        <f>IF(AND(Tabela1[[#This Row],[EA Play Season Pass]]="No",Tabela1[[#This Row],[Minecraft Season Pass]]="No"), "1", "0")*1</f>
        <v>0</v>
      </c>
      <c r="R211" s="28">
        <f>IF(AND(Tabela1[[#This Row],[EA Play Season Pass]]="No",Tabela1[[#This Row],[Minecraft Season Pass]]="Yes"), "1", "0")*1</f>
        <v>0</v>
      </c>
      <c r="S211" s="28">
        <f>IF(AND(Tabela1[[#This Row],[EA Play Season Pass]]="Yes",Tabela1[[#This Row],[Minecraft Season Pass]]="No"), "1", "0")*1</f>
        <v>0</v>
      </c>
    </row>
    <row r="212" spans="1:19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24">
        <f>IF(Tabela1[[#This Row],[EA Play Season Pass]]="Yes",1,0)</f>
        <v>0</v>
      </c>
      <c r="J212" s="11" t="s">
        <v>311</v>
      </c>
      <c r="K212" s="8" t="s">
        <v>19</v>
      </c>
      <c r="L212" s="24">
        <f>IF(Tabela1[[#This Row],[Minecraft Season Pass]]="Yes",1,0)</f>
        <v>1</v>
      </c>
      <c r="M212" s="11">
        <v>20</v>
      </c>
      <c r="N212" s="11">
        <v>5</v>
      </c>
      <c r="O212" s="11">
        <v>25</v>
      </c>
      <c r="P212" s="23">
        <f>IF(AND(Tabela1[[#This Row],[EA Play Season Pass]]="yes",Tabela1[[#This Row],[Minecraft Season Pass]]="Yes"), "1", "0")*1</f>
        <v>0</v>
      </c>
      <c r="Q212" s="23">
        <f>IF(AND(Tabela1[[#This Row],[EA Play Season Pass]]="No",Tabela1[[#This Row],[Minecraft Season Pass]]="No"), "1", "0")*1</f>
        <v>0</v>
      </c>
      <c r="R212" s="28">
        <f>IF(AND(Tabela1[[#This Row],[EA Play Season Pass]]="No",Tabela1[[#This Row],[Minecraft Season Pass]]="Yes"), "1", "0")*1</f>
        <v>1</v>
      </c>
      <c r="S212" s="28">
        <f>IF(AND(Tabela1[[#This Row],[EA Play Season Pass]]="Yes",Tabela1[[#This Row],[Minecraft Season Pass]]="No"), "1", "0")*1</f>
        <v>0</v>
      </c>
    </row>
    <row r="213" spans="1:19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24">
        <f>IF(Tabela1[[#This Row],[EA Play Season Pass]]="Yes",1,0)</f>
        <v>0</v>
      </c>
      <c r="J213" s="11" t="s">
        <v>311</v>
      </c>
      <c r="K213" s="8" t="s">
        <v>23</v>
      </c>
      <c r="L213" s="24">
        <f>IF(Tabela1[[#This Row],[Minecraft Season Pass]]="Yes",1,0)</f>
        <v>0</v>
      </c>
      <c r="M213" s="11">
        <v>0</v>
      </c>
      <c r="N213" s="11">
        <v>0</v>
      </c>
      <c r="O213" s="11">
        <v>5</v>
      </c>
      <c r="P213" s="23">
        <f>IF(AND(Tabela1[[#This Row],[EA Play Season Pass]]="yes",Tabela1[[#This Row],[Minecraft Season Pass]]="Yes"), "1", "0")*1</f>
        <v>0</v>
      </c>
      <c r="Q213" s="23">
        <f>IF(AND(Tabela1[[#This Row],[EA Play Season Pass]]="No",Tabela1[[#This Row],[Minecraft Season Pass]]="No"), "1", "0")*1</f>
        <v>1</v>
      </c>
      <c r="R213" s="28">
        <f>IF(AND(Tabela1[[#This Row],[EA Play Season Pass]]="No",Tabela1[[#This Row],[Minecraft Season Pass]]="Yes"), "1", "0")*1</f>
        <v>0</v>
      </c>
      <c r="S213" s="28">
        <f>IF(AND(Tabela1[[#This Row],[EA Play Season Pass]]="Yes",Tabela1[[#This Row],[Minecraft Season Pass]]="No"), "1", "0")*1</f>
        <v>0</v>
      </c>
    </row>
    <row r="214" spans="1:19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24">
        <f>IF(Tabela1[[#This Row],[EA Play Season Pass]]="Yes",1,0)</f>
        <v>1</v>
      </c>
      <c r="J214" s="11">
        <v>30</v>
      </c>
      <c r="K214" s="8" t="s">
        <v>19</v>
      </c>
      <c r="L214" s="24">
        <f>IF(Tabela1[[#This Row],[Minecraft Season Pass]]="Yes",1,0)</f>
        <v>1</v>
      </c>
      <c r="M214" s="11">
        <v>20</v>
      </c>
      <c r="N214" s="11">
        <v>20</v>
      </c>
      <c r="O214" s="11">
        <v>45</v>
      </c>
      <c r="P214" s="23">
        <f>IF(AND(Tabela1[[#This Row],[EA Play Season Pass]]="yes",Tabela1[[#This Row],[Minecraft Season Pass]]="Yes"), "1", "0")*1</f>
        <v>1</v>
      </c>
      <c r="Q214" s="23">
        <f>IF(AND(Tabela1[[#This Row],[EA Play Season Pass]]="No",Tabela1[[#This Row],[Minecraft Season Pass]]="No"), "1", "0")*1</f>
        <v>0</v>
      </c>
      <c r="R214" s="28">
        <f>IF(AND(Tabela1[[#This Row],[EA Play Season Pass]]="No",Tabela1[[#This Row],[Minecraft Season Pass]]="Yes"), "1", "0")*1</f>
        <v>0</v>
      </c>
      <c r="S214" s="28">
        <f>IF(AND(Tabela1[[#This Row],[EA Play Season Pass]]="Yes",Tabela1[[#This Row],[Minecraft Season Pass]]="No"), "1", "0")*1</f>
        <v>0</v>
      </c>
    </row>
    <row r="215" spans="1:19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24">
        <f>IF(Tabela1[[#This Row],[EA Play Season Pass]]="Yes",1,0)</f>
        <v>0</v>
      </c>
      <c r="J215" s="11" t="s">
        <v>311</v>
      </c>
      <c r="K215" s="8" t="s">
        <v>19</v>
      </c>
      <c r="L215" s="24">
        <f>IF(Tabela1[[#This Row],[Minecraft Season Pass]]="Yes",1,0)</f>
        <v>1</v>
      </c>
      <c r="M215" s="11">
        <v>20</v>
      </c>
      <c r="N215" s="11">
        <v>12</v>
      </c>
      <c r="O215" s="11">
        <v>18</v>
      </c>
      <c r="P215" s="23">
        <f>IF(AND(Tabela1[[#This Row],[EA Play Season Pass]]="yes",Tabela1[[#This Row],[Minecraft Season Pass]]="Yes"), "1", "0")*1</f>
        <v>0</v>
      </c>
      <c r="Q215" s="23">
        <f>IF(AND(Tabela1[[#This Row],[EA Play Season Pass]]="No",Tabela1[[#This Row],[Minecraft Season Pass]]="No"), "1", "0")*1</f>
        <v>0</v>
      </c>
      <c r="R215" s="28">
        <f>IF(AND(Tabela1[[#This Row],[EA Play Season Pass]]="No",Tabela1[[#This Row],[Minecraft Season Pass]]="Yes"), "1", "0")*1</f>
        <v>1</v>
      </c>
      <c r="S215" s="28">
        <f>IF(AND(Tabela1[[#This Row],[EA Play Season Pass]]="Yes",Tabela1[[#This Row],[Minecraft Season Pass]]="No"), "1", "0")*1</f>
        <v>0</v>
      </c>
    </row>
    <row r="216" spans="1:19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24">
        <f>IF(Tabela1[[#This Row],[EA Play Season Pass]]="Yes",1,0)</f>
        <v>0</v>
      </c>
      <c r="J216" s="11" t="s">
        <v>311</v>
      </c>
      <c r="K216" s="8" t="s">
        <v>23</v>
      </c>
      <c r="L216" s="24">
        <f>IF(Tabela1[[#This Row],[Minecraft Season Pass]]="Yes",1,0)</f>
        <v>0</v>
      </c>
      <c r="M216" s="11">
        <v>0</v>
      </c>
      <c r="N216" s="11">
        <v>2</v>
      </c>
      <c r="O216" s="11">
        <v>3</v>
      </c>
      <c r="P216" s="23">
        <f>IF(AND(Tabela1[[#This Row],[EA Play Season Pass]]="yes",Tabela1[[#This Row],[Minecraft Season Pass]]="Yes"), "1", "0")*1</f>
        <v>0</v>
      </c>
      <c r="Q216" s="23">
        <f>IF(AND(Tabela1[[#This Row],[EA Play Season Pass]]="No",Tabela1[[#This Row],[Minecraft Season Pass]]="No"), "1", "0")*1</f>
        <v>1</v>
      </c>
      <c r="R216" s="28">
        <f>IF(AND(Tabela1[[#This Row],[EA Play Season Pass]]="No",Tabela1[[#This Row],[Minecraft Season Pass]]="Yes"), "1", "0")*1</f>
        <v>0</v>
      </c>
      <c r="S216" s="28">
        <f>IF(AND(Tabela1[[#This Row],[EA Play Season Pass]]="Yes",Tabela1[[#This Row],[Minecraft Season Pass]]="No"), "1", "0")*1</f>
        <v>0</v>
      </c>
    </row>
    <row r="217" spans="1:19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24">
        <f>IF(Tabela1[[#This Row],[EA Play Season Pass]]="Yes",1,0)</f>
        <v>1</v>
      </c>
      <c r="J217" s="11">
        <v>30</v>
      </c>
      <c r="K217" s="8" t="s">
        <v>19</v>
      </c>
      <c r="L217" s="24">
        <f>IF(Tabela1[[#This Row],[Minecraft Season Pass]]="Yes",1,0)</f>
        <v>1</v>
      </c>
      <c r="M217" s="11">
        <v>20</v>
      </c>
      <c r="N217" s="11">
        <v>5</v>
      </c>
      <c r="O217" s="11">
        <v>60</v>
      </c>
      <c r="P217" s="23">
        <f>IF(AND(Tabela1[[#This Row],[EA Play Season Pass]]="yes",Tabela1[[#This Row],[Minecraft Season Pass]]="Yes"), "1", "0")*1</f>
        <v>1</v>
      </c>
      <c r="Q217" s="23">
        <f>IF(AND(Tabela1[[#This Row],[EA Play Season Pass]]="No",Tabela1[[#This Row],[Minecraft Season Pass]]="No"), "1", "0")*1</f>
        <v>0</v>
      </c>
      <c r="R217" s="28">
        <f>IF(AND(Tabela1[[#This Row],[EA Play Season Pass]]="No",Tabela1[[#This Row],[Minecraft Season Pass]]="Yes"), "1", "0")*1</f>
        <v>0</v>
      </c>
      <c r="S217" s="28">
        <f>IF(AND(Tabela1[[#This Row],[EA Play Season Pass]]="Yes",Tabela1[[#This Row],[Minecraft Season Pass]]="No"), "1", "0")*1</f>
        <v>0</v>
      </c>
    </row>
    <row r="218" spans="1:19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24">
        <f>IF(Tabela1[[#This Row],[EA Play Season Pass]]="Yes",1,0)</f>
        <v>0</v>
      </c>
      <c r="J218" s="11" t="s">
        <v>311</v>
      </c>
      <c r="K218" s="8" t="s">
        <v>19</v>
      </c>
      <c r="L218" s="24">
        <f>IF(Tabela1[[#This Row],[Minecraft Season Pass]]="Yes",1,0)</f>
        <v>1</v>
      </c>
      <c r="M218" s="11">
        <v>20</v>
      </c>
      <c r="N218" s="11">
        <v>10</v>
      </c>
      <c r="O218" s="11">
        <v>20</v>
      </c>
      <c r="P218" s="23">
        <f>IF(AND(Tabela1[[#This Row],[EA Play Season Pass]]="yes",Tabela1[[#This Row],[Minecraft Season Pass]]="Yes"), "1", "0")*1</f>
        <v>0</v>
      </c>
      <c r="Q218" s="23">
        <f>IF(AND(Tabela1[[#This Row],[EA Play Season Pass]]="No",Tabela1[[#This Row],[Minecraft Season Pass]]="No"), "1", "0")*1</f>
        <v>0</v>
      </c>
      <c r="R218" s="28">
        <f>IF(AND(Tabela1[[#This Row],[EA Play Season Pass]]="No",Tabela1[[#This Row],[Minecraft Season Pass]]="Yes"), "1", "0")*1</f>
        <v>1</v>
      </c>
      <c r="S218" s="28">
        <f>IF(AND(Tabela1[[#This Row],[EA Play Season Pass]]="Yes",Tabela1[[#This Row],[Minecraft Season Pass]]="No"), "1", "0")*1</f>
        <v>0</v>
      </c>
    </row>
    <row r="219" spans="1:19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24">
        <f>IF(Tabela1[[#This Row],[EA Play Season Pass]]="Yes",1,0)</f>
        <v>0</v>
      </c>
      <c r="J219" s="11" t="s">
        <v>311</v>
      </c>
      <c r="K219" s="8" t="s">
        <v>23</v>
      </c>
      <c r="L219" s="24">
        <f>IF(Tabela1[[#This Row],[Minecraft Season Pass]]="Yes",1,0)</f>
        <v>0</v>
      </c>
      <c r="M219" s="11">
        <v>0</v>
      </c>
      <c r="N219" s="11">
        <v>0</v>
      </c>
      <c r="O219" s="11">
        <v>5</v>
      </c>
      <c r="P219" s="23">
        <f>IF(AND(Tabela1[[#This Row],[EA Play Season Pass]]="yes",Tabela1[[#This Row],[Minecraft Season Pass]]="Yes"), "1", "0")*1</f>
        <v>0</v>
      </c>
      <c r="Q219" s="23">
        <f>IF(AND(Tabela1[[#This Row],[EA Play Season Pass]]="No",Tabela1[[#This Row],[Minecraft Season Pass]]="No"), "1", "0")*1</f>
        <v>1</v>
      </c>
      <c r="R219" s="28">
        <f>IF(AND(Tabela1[[#This Row],[EA Play Season Pass]]="No",Tabela1[[#This Row],[Minecraft Season Pass]]="Yes"), "1", "0")*1</f>
        <v>0</v>
      </c>
      <c r="S219" s="28">
        <f>IF(AND(Tabela1[[#This Row],[EA Play Season Pass]]="Yes",Tabela1[[#This Row],[Minecraft Season Pass]]="No"), "1", "0")*1</f>
        <v>0</v>
      </c>
    </row>
    <row r="220" spans="1:19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24">
        <f>IF(Tabela1[[#This Row],[EA Play Season Pass]]="Yes",1,0)</f>
        <v>1</v>
      </c>
      <c r="J220" s="11">
        <v>30</v>
      </c>
      <c r="K220" s="8" t="s">
        <v>19</v>
      </c>
      <c r="L220" s="24">
        <f>IF(Tabela1[[#This Row],[Minecraft Season Pass]]="Yes",1,0)</f>
        <v>1</v>
      </c>
      <c r="M220" s="11">
        <v>20</v>
      </c>
      <c r="N220" s="11">
        <v>3</v>
      </c>
      <c r="O220" s="11">
        <v>62</v>
      </c>
      <c r="P220" s="23">
        <f>IF(AND(Tabela1[[#This Row],[EA Play Season Pass]]="yes",Tabela1[[#This Row],[Minecraft Season Pass]]="Yes"), "1", "0")*1</f>
        <v>1</v>
      </c>
      <c r="Q220" s="23">
        <f>IF(AND(Tabela1[[#This Row],[EA Play Season Pass]]="No",Tabela1[[#This Row],[Minecraft Season Pass]]="No"), "1", "0")*1</f>
        <v>0</v>
      </c>
      <c r="R220" s="28">
        <f>IF(AND(Tabela1[[#This Row],[EA Play Season Pass]]="No",Tabela1[[#This Row],[Minecraft Season Pass]]="Yes"), "1", "0")*1</f>
        <v>0</v>
      </c>
      <c r="S220" s="28">
        <f>IF(AND(Tabela1[[#This Row],[EA Play Season Pass]]="Yes",Tabela1[[#This Row],[Minecraft Season Pass]]="No"), "1", "0")*1</f>
        <v>0</v>
      </c>
    </row>
    <row r="221" spans="1:19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24">
        <f>IF(Tabela1[[#This Row],[EA Play Season Pass]]="Yes",1,0)</f>
        <v>0</v>
      </c>
      <c r="J221" s="11" t="s">
        <v>311</v>
      </c>
      <c r="K221" s="8" t="s">
        <v>19</v>
      </c>
      <c r="L221" s="24">
        <f>IF(Tabela1[[#This Row],[Minecraft Season Pass]]="Yes",1,0)</f>
        <v>1</v>
      </c>
      <c r="M221" s="11">
        <v>20</v>
      </c>
      <c r="N221" s="11">
        <v>15</v>
      </c>
      <c r="O221" s="11">
        <v>15</v>
      </c>
      <c r="P221" s="23">
        <f>IF(AND(Tabela1[[#This Row],[EA Play Season Pass]]="yes",Tabela1[[#This Row],[Minecraft Season Pass]]="Yes"), "1", "0")*1</f>
        <v>0</v>
      </c>
      <c r="Q221" s="23">
        <f>IF(AND(Tabela1[[#This Row],[EA Play Season Pass]]="No",Tabela1[[#This Row],[Minecraft Season Pass]]="No"), "1", "0")*1</f>
        <v>0</v>
      </c>
      <c r="R221" s="28">
        <f>IF(AND(Tabela1[[#This Row],[EA Play Season Pass]]="No",Tabela1[[#This Row],[Minecraft Season Pass]]="Yes"), "1", "0")*1</f>
        <v>1</v>
      </c>
      <c r="S221" s="28">
        <f>IF(AND(Tabela1[[#This Row],[EA Play Season Pass]]="Yes",Tabela1[[#This Row],[Minecraft Season Pass]]="No"), "1", "0")*1</f>
        <v>0</v>
      </c>
    </row>
    <row r="222" spans="1:19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24">
        <f>IF(Tabela1[[#This Row],[EA Play Season Pass]]="Yes",1,0)</f>
        <v>0</v>
      </c>
      <c r="J222" s="11" t="s">
        <v>311</v>
      </c>
      <c r="K222" s="8" t="s">
        <v>23</v>
      </c>
      <c r="L222" s="24">
        <f>IF(Tabela1[[#This Row],[Minecraft Season Pass]]="Yes",1,0)</f>
        <v>0</v>
      </c>
      <c r="M222" s="11">
        <v>0</v>
      </c>
      <c r="N222" s="11">
        <v>1</v>
      </c>
      <c r="O222" s="11">
        <v>4</v>
      </c>
      <c r="P222" s="23">
        <f>IF(AND(Tabela1[[#This Row],[EA Play Season Pass]]="yes",Tabela1[[#This Row],[Minecraft Season Pass]]="Yes"), "1", "0")*1</f>
        <v>0</v>
      </c>
      <c r="Q222" s="23">
        <f>IF(AND(Tabela1[[#This Row],[EA Play Season Pass]]="No",Tabela1[[#This Row],[Minecraft Season Pass]]="No"), "1", "0")*1</f>
        <v>1</v>
      </c>
      <c r="R222" s="28">
        <f>IF(AND(Tabela1[[#This Row],[EA Play Season Pass]]="No",Tabela1[[#This Row],[Minecraft Season Pass]]="Yes"), "1", "0")*1</f>
        <v>0</v>
      </c>
      <c r="S222" s="28">
        <f>IF(AND(Tabela1[[#This Row],[EA Play Season Pass]]="Yes",Tabela1[[#This Row],[Minecraft Season Pass]]="No"), "1", "0")*1</f>
        <v>0</v>
      </c>
    </row>
    <row r="223" spans="1:19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24">
        <f>IF(Tabela1[[#This Row],[EA Play Season Pass]]="Yes",1,0)</f>
        <v>1</v>
      </c>
      <c r="J223" s="11">
        <v>30</v>
      </c>
      <c r="K223" s="8" t="s">
        <v>19</v>
      </c>
      <c r="L223" s="24">
        <f>IF(Tabela1[[#This Row],[Minecraft Season Pass]]="Yes",1,0)</f>
        <v>1</v>
      </c>
      <c r="M223" s="11">
        <v>20</v>
      </c>
      <c r="N223" s="11">
        <v>7</v>
      </c>
      <c r="O223" s="11">
        <v>58</v>
      </c>
      <c r="P223" s="23">
        <f>IF(AND(Tabela1[[#This Row],[EA Play Season Pass]]="yes",Tabela1[[#This Row],[Minecraft Season Pass]]="Yes"), "1", "0")*1</f>
        <v>1</v>
      </c>
      <c r="Q223" s="23">
        <f>IF(AND(Tabela1[[#This Row],[EA Play Season Pass]]="No",Tabela1[[#This Row],[Minecraft Season Pass]]="No"), "1", "0")*1</f>
        <v>0</v>
      </c>
      <c r="R223" s="28">
        <f>IF(AND(Tabela1[[#This Row],[EA Play Season Pass]]="No",Tabela1[[#This Row],[Minecraft Season Pass]]="Yes"), "1", "0")*1</f>
        <v>0</v>
      </c>
      <c r="S223" s="28">
        <f>IF(AND(Tabela1[[#This Row],[EA Play Season Pass]]="Yes",Tabela1[[#This Row],[Minecraft Season Pass]]="No"), "1", "0")*1</f>
        <v>0</v>
      </c>
    </row>
    <row r="224" spans="1:19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24">
        <f>IF(Tabela1[[#This Row],[EA Play Season Pass]]="Yes",1,0)</f>
        <v>0</v>
      </c>
      <c r="J224" s="11" t="s">
        <v>311</v>
      </c>
      <c r="K224" s="8" t="s">
        <v>19</v>
      </c>
      <c r="L224" s="24">
        <f>IF(Tabela1[[#This Row],[Minecraft Season Pass]]="Yes",1,0)</f>
        <v>1</v>
      </c>
      <c r="M224" s="11">
        <v>20</v>
      </c>
      <c r="N224" s="11">
        <v>10</v>
      </c>
      <c r="O224" s="11">
        <v>20</v>
      </c>
      <c r="P224" s="23">
        <f>IF(AND(Tabela1[[#This Row],[EA Play Season Pass]]="yes",Tabela1[[#This Row],[Minecraft Season Pass]]="Yes"), "1", "0")*1</f>
        <v>0</v>
      </c>
      <c r="Q224" s="23">
        <f>IF(AND(Tabela1[[#This Row],[EA Play Season Pass]]="No",Tabela1[[#This Row],[Minecraft Season Pass]]="No"), "1", "0")*1</f>
        <v>0</v>
      </c>
      <c r="R224" s="28">
        <f>IF(AND(Tabela1[[#This Row],[EA Play Season Pass]]="No",Tabela1[[#This Row],[Minecraft Season Pass]]="Yes"), "1", "0")*1</f>
        <v>1</v>
      </c>
      <c r="S224" s="28">
        <f>IF(AND(Tabela1[[#This Row],[EA Play Season Pass]]="Yes",Tabela1[[#This Row],[Minecraft Season Pass]]="No"), "1", "0")*1</f>
        <v>0</v>
      </c>
    </row>
    <row r="225" spans="1:19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24">
        <f>IF(Tabela1[[#This Row],[EA Play Season Pass]]="Yes",1,0)</f>
        <v>0</v>
      </c>
      <c r="J225" s="11" t="s">
        <v>311</v>
      </c>
      <c r="K225" s="8" t="s">
        <v>23</v>
      </c>
      <c r="L225" s="24">
        <f>IF(Tabela1[[#This Row],[Minecraft Season Pass]]="Yes",1,0)</f>
        <v>0</v>
      </c>
      <c r="M225" s="11">
        <v>0</v>
      </c>
      <c r="N225" s="11">
        <v>0</v>
      </c>
      <c r="O225" s="11">
        <v>5</v>
      </c>
      <c r="P225" s="23">
        <f>IF(AND(Tabela1[[#This Row],[EA Play Season Pass]]="yes",Tabela1[[#This Row],[Minecraft Season Pass]]="Yes"), "1", "0")*1</f>
        <v>0</v>
      </c>
      <c r="Q225" s="23">
        <f>IF(AND(Tabela1[[#This Row],[EA Play Season Pass]]="No",Tabela1[[#This Row],[Minecraft Season Pass]]="No"), "1", "0")*1</f>
        <v>1</v>
      </c>
      <c r="R225" s="28">
        <f>IF(AND(Tabela1[[#This Row],[EA Play Season Pass]]="No",Tabela1[[#This Row],[Minecraft Season Pass]]="Yes"), "1", "0")*1</f>
        <v>0</v>
      </c>
      <c r="S225" s="28">
        <f>IF(AND(Tabela1[[#This Row],[EA Play Season Pass]]="Yes",Tabela1[[#This Row],[Minecraft Season Pass]]="No"), "1", "0")*1</f>
        <v>0</v>
      </c>
    </row>
    <row r="226" spans="1:19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24">
        <f>IF(Tabela1[[#This Row],[EA Play Season Pass]]="Yes",1,0)</f>
        <v>1</v>
      </c>
      <c r="J226" s="11">
        <v>30</v>
      </c>
      <c r="K226" s="8" t="s">
        <v>19</v>
      </c>
      <c r="L226" s="24">
        <f>IF(Tabela1[[#This Row],[Minecraft Season Pass]]="Yes",1,0)</f>
        <v>1</v>
      </c>
      <c r="M226" s="11">
        <v>20</v>
      </c>
      <c r="N226" s="11">
        <v>20</v>
      </c>
      <c r="O226" s="11">
        <v>45</v>
      </c>
      <c r="P226" s="23">
        <f>IF(AND(Tabela1[[#This Row],[EA Play Season Pass]]="yes",Tabela1[[#This Row],[Minecraft Season Pass]]="Yes"), "1", "0")*1</f>
        <v>1</v>
      </c>
      <c r="Q226" s="23">
        <f>IF(AND(Tabela1[[#This Row],[EA Play Season Pass]]="No",Tabela1[[#This Row],[Minecraft Season Pass]]="No"), "1", "0")*1</f>
        <v>0</v>
      </c>
      <c r="R226" s="28">
        <f>IF(AND(Tabela1[[#This Row],[EA Play Season Pass]]="No",Tabela1[[#This Row],[Minecraft Season Pass]]="Yes"), "1", "0")*1</f>
        <v>0</v>
      </c>
      <c r="S226" s="28">
        <f>IF(AND(Tabela1[[#This Row],[EA Play Season Pass]]="Yes",Tabela1[[#This Row],[Minecraft Season Pass]]="No"), "1", "0")*1</f>
        <v>0</v>
      </c>
    </row>
    <row r="227" spans="1:19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24">
        <f>IF(Tabela1[[#This Row],[EA Play Season Pass]]="Yes",1,0)</f>
        <v>0</v>
      </c>
      <c r="J227" s="11" t="s">
        <v>311</v>
      </c>
      <c r="K227" s="8" t="s">
        <v>19</v>
      </c>
      <c r="L227" s="24">
        <f>IF(Tabela1[[#This Row],[Minecraft Season Pass]]="Yes",1,0)</f>
        <v>1</v>
      </c>
      <c r="M227" s="11">
        <v>20</v>
      </c>
      <c r="N227" s="11">
        <v>15</v>
      </c>
      <c r="O227" s="11">
        <v>15</v>
      </c>
      <c r="P227" s="23">
        <f>IF(AND(Tabela1[[#This Row],[EA Play Season Pass]]="yes",Tabela1[[#This Row],[Minecraft Season Pass]]="Yes"), "1", "0")*1</f>
        <v>0</v>
      </c>
      <c r="Q227" s="23">
        <f>IF(AND(Tabela1[[#This Row],[EA Play Season Pass]]="No",Tabela1[[#This Row],[Minecraft Season Pass]]="No"), "1", "0")*1</f>
        <v>0</v>
      </c>
      <c r="R227" s="28">
        <f>IF(AND(Tabela1[[#This Row],[EA Play Season Pass]]="No",Tabela1[[#This Row],[Minecraft Season Pass]]="Yes"), "1", "0")*1</f>
        <v>1</v>
      </c>
      <c r="S227" s="28">
        <f>IF(AND(Tabela1[[#This Row],[EA Play Season Pass]]="Yes",Tabela1[[#This Row],[Minecraft Season Pass]]="No"), "1", "0")*1</f>
        <v>0</v>
      </c>
    </row>
    <row r="228" spans="1:19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24">
        <f>IF(Tabela1[[#This Row],[EA Play Season Pass]]="Yes",1,0)</f>
        <v>0</v>
      </c>
      <c r="J228" s="11" t="s">
        <v>311</v>
      </c>
      <c r="K228" s="8" t="s">
        <v>23</v>
      </c>
      <c r="L228" s="24">
        <f>IF(Tabela1[[#This Row],[Minecraft Season Pass]]="Yes",1,0)</f>
        <v>0</v>
      </c>
      <c r="M228" s="11">
        <v>0</v>
      </c>
      <c r="N228" s="11">
        <v>1</v>
      </c>
      <c r="O228" s="11">
        <v>4</v>
      </c>
      <c r="P228" s="23">
        <f>IF(AND(Tabela1[[#This Row],[EA Play Season Pass]]="yes",Tabela1[[#This Row],[Minecraft Season Pass]]="Yes"), "1", "0")*1</f>
        <v>0</v>
      </c>
      <c r="Q228" s="23">
        <f>IF(AND(Tabela1[[#This Row],[EA Play Season Pass]]="No",Tabela1[[#This Row],[Minecraft Season Pass]]="No"), "1", "0")*1</f>
        <v>1</v>
      </c>
      <c r="R228" s="28">
        <f>IF(AND(Tabela1[[#This Row],[EA Play Season Pass]]="No",Tabela1[[#This Row],[Minecraft Season Pass]]="Yes"), "1", "0")*1</f>
        <v>0</v>
      </c>
      <c r="S228" s="28">
        <f>IF(AND(Tabela1[[#This Row],[EA Play Season Pass]]="Yes",Tabela1[[#This Row],[Minecraft Season Pass]]="No"), "1", "0")*1</f>
        <v>0</v>
      </c>
    </row>
    <row r="229" spans="1:19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24">
        <f>IF(Tabela1[[#This Row],[EA Play Season Pass]]="Yes",1,0)</f>
        <v>1</v>
      </c>
      <c r="J229" s="11">
        <v>30</v>
      </c>
      <c r="K229" s="8" t="s">
        <v>19</v>
      </c>
      <c r="L229" s="24">
        <f>IF(Tabela1[[#This Row],[Minecraft Season Pass]]="Yes",1,0)</f>
        <v>1</v>
      </c>
      <c r="M229" s="11">
        <v>20</v>
      </c>
      <c r="N229" s="11">
        <v>3</v>
      </c>
      <c r="O229" s="11">
        <v>62</v>
      </c>
      <c r="P229" s="23">
        <f>IF(AND(Tabela1[[#This Row],[EA Play Season Pass]]="yes",Tabela1[[#This Row],[Minecraft Season Pass]]="Yes"), "1", "0")*1</f>
        <v>1</v>
      </c>
      <c r="Q229" s="23">
        <f>IF(AND(Tabela1[[#This Row],[EA Play Season Pass]]="No",Tabela1[[#This Row],[Minecraft Season Pass]]="No"), "1", "0")*1</f>
        <v>0</v>
      </c>
      <c r="R229" s="28">
        <f>IF(AND(Tabela1[[#This Row],[EA Play Season Pass]]="No",Tabela1[[#This Row],[Minecraft Season Pass]]="Yes"), "1", "0")*1</f>
        <v>0</v>
      </c>
      <c r="S229" s="28">
        <f>IF(AND(Tabela1[[#This Row],[EA Play Season Pass]]="Yes",Tabela1[[#This Row],[Minecraft Season Pass]]="No"), "1", "0")*1</f>
        <v>0</v>
      </c>
    </row>
    <row r="230" spans="1:19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24">
        <f>IF(Tabela1[[#This Row],[EA Play Season Pass]]="Yes",1,0)</f>
        <v>0</v>
      </c>
      <c r="J230" s="11" t="s">
        <v>311</v>
      </c>
      <c r="K230" s="8" t="s">
        <v>19</v>
      </c>
      <c r="L230" s="24">
        <f>IF(Tabela1[[#This Row],[Minecraft Season Pass]]="Yes",1,0)</f>
        <v>1</v>
      </c>
      <c r="M230" s="11">
        <v>20</v>
      </c>
      <c r="N230" s="11">
        <v>10</v>
      </c>
      <c r="O230" s="11">
        <v>20</v>
      </c>
      <c r="P230" s="23">
        <f>IF(AND(Tabela1[[#This Row],[EA Play Season Pass]]="yes",Tabela1[[#This Row],[Minecraft Season Pass]]="Yes"), "1", "0")*1</f>
        <v>0</v>
      </c>
      <c r="Q230" s="23">
        <f>IF(AND(Tabela1[[#This Row],[EA Play Season Pass]]="No",Tabela1[[#This Row],[Minecraft Season Pass]]="No"), "1", "0")*1</f>
        <v>0</v>
      </c>
      <c r="R230" s="28">
        <f>IF(AND(Tabela1[[#This Row],[EA Play Season Pass]]="No",Tabela1[[#This Row],[Minecraft Season Pass]]="Yes"), "1", "0")*1</f>
        <v>1</v>
      </c>
      <c r="S230" s="28">
        <f>IF(AND(Tabela1[[#This Row],[EA Play Season Pass]]="Yes",Tabela1[[#This Row],[Minecraft Season Pass]]="No"), "1", "0")*1</f>
        <v>0</v>
      </c>
    </row>
    <row r="231" spans="1:19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24">
        <f>IF(Tabela1[[#This Row],[EA Play Season Pass]]="Yes",1,0)</f>
        <v>0</v>
      </c>
      <c r="J231" s="11" t="s">
        <v>311</v>
      </c>
      <c r="K231" s="8" t="s">
        <v>23</v>
      </c>
      <c r="L231" s="24">
        <f>IF(Tabela1[[#This Row],[Minecraft Season Pass]]="Yes",1,0)</f>
        <v>0</v>
      </c>
      <c r="M231" s="11">
        <v>0</v>
      </c>
      <c r="N231" s="11">
        <v>0</v>
      </c>
      <c r="O231" s="11">
        <v>5</v>
      </c>
      <c r="P231" s="23">
        <f>IF(AND(Tabela1[[#This Row],[EA Play Season Pass]]="yes",Tabela1[[#This Row],[Minecraft Season Pass]]="Yes"), "1", "0")*1</f>
        <v>0</v>
      </c>
      <c r="Q231" s="23">
        <f>IF(AND(Tabela1[[#This Row],[EA Play Season Pass]]="No",Tabela1[[#This Row],[Minecraft Season Pass]]="No"), "1", "0")*1</f>
        <v>1</v>
      </c>
      <c r="R231" s="28">
        <f>IF(AND(Tabela1[[#This Row],[EA Play Season Pass]]="No",Tabela1[[#This Row],[Minecraft Season Pass]]="Yes"), "1", "0")*1</f>
        <v>0</v>
      </c>
      <c r="S231" s="28">
        <f>IF(AND(Tabela1[[#This Row],[EA Play Season Pass]]="Yes",Tabela1[[#This Row],[Minecraft Season Pass]]="No"), "1", "0")*1</f>
        <v>0</v>
      </c>
    </row>
    <row r="232" spans="1:19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24">
        <f>IF(Tabela1[[#This Row],[EA Play Season Pass]]="Yes",1,0)</f>
        <v>1</v>
      </c>
      <c r="J232" s="11">
        <v>30</v>
      </c>
      <c r="K232" s="8" t="s">
        <v>19</v>
      </c>
      <c r="L232" s="24">
        <f>IF(Tabela1[[#This Row],[Minecraft Season Pass]]="Yes",1,0)</f>
        <v>1</v>
      </c>
      <c r="M232" s="11">
        <v>20</v>
      </c>
      <c r="N232" s="11">
        <v>15</v>
      </c>
      <c r="O232" s="11">
        <v>50</v>
      </c>
      <c r="P232" s="23">
        <f>IF(AND(Tabela1[[#This Row],[EA Play Season Pass]]="yes",Tabela1[[#This Row],[Minecraft Season Pass]]="Yes"), "1", "0")*1</f>
        <v>1</v>
      </c>
      <c r="Q232" s="23">
        <f>IF(AND(Tabela1[[#This Row],[EA Play Season Pass]]="No",Tabela1[[#This Row],[Minecraft Season Pass]]="No"), "1", "0")*1</f>
        <v>0</v>
      </c>
      <c r="R232" s="28">
        <f>IF(AND(Tabela1[[#This Row],[EA Play Season Pass]]="No",Tabela1[[#This Row],[Minecraft Season Pass]]="Yes"), "1", "0")*1</f>
        <v>0</v>
      </c>
      <c r="S232" s="28">
        <f>IF(AND(Tabela1[[#This Row],[EA Play Season Pass]]="Yes",Tabela1[[#This Row],[Minecraft Season Pass]]="No"), "1", "0")*1</f>
        <v>0</v>
      </c>
    </row>
    <row r="233" spans="1:19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24">
        <f>IF(Tabela1[[#This Row],[EA Play Season Pass]]="Yes",1,0)</f>
        <v>0</v>
      </c>
      <c r="J233" s="11" t="s">
        <v>311</v>
      </c>
      <c r="K233" s="8" t="s">
        <v>19</v>
      </c>
      <c r="L233" s="24">
        <f>IF(Tabela1[[#This Row],[Minecraft Season Pass]]="Yes",1,0)</f>
        <v>1</v>
      </c>
      <c r="M233" s="11">
        <v>20</v>
      </c>
      <c r="N233" s="11">
        <v>15</v>
      </c>
      <c r="O233" s="11">
        <v>15</v>
      </c>
      <c r="P233" s="23">
        <f>IF(AND(Tabela1[[#This Row],[EA Play Season Pass]]="yes",Tabela1[[#This Row],[Minecraft Season Pass]]="Yes"), "1", "0")*1</f>
        <v>0</v>
      </c>
      <c r="Q233" s="23">
        <f>IF(AND(Tabela1[[#This Row],[EA Play Season Pass]]="No",Tabela1[[#This Row],[Minecraft Season Pass]]="No"), "1", "0")*1</f>
        <v>0</v>
      </c>
      <c r="R233" s="28">
        <f>IF(AND(Tabela1[[#This Row],[EA Play Season Pass]]="No",Tabela1[[#This Row],[Minecraft Season Pass]]="Yes"), "1", "0")*1</f>
        <v>1</v>
      </c>
      <c r="S233" s="28">
        <f>IF(AND(Tabela1[[#This Row],[EA Play Season Pass]]="Yes",Tabela1[[#This Row],[Minecraft Season Pass]]="No"), "1", "0")*1</f>
        <v>0</v>
      </c>
    </row>
    <row r="234" spans="1:19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24">
        <f>IF(Tabela1[[#This Row],[EA Play Season Pass]]="Yes",1,0)</f>
        <v>0</v>
      </c>
      <c r="J234" s="11" t="s">
        <v>311</v>
      </c>
      <c r="K234" s="8" t="s">
        <v>23</v>
      </c>
      <c r="L234" s="24">
        <f>IF(Tabela1[[#This Row],[Minecraft Season Pass]]="Yes",1,0)</f>
        <v>0</v>
      </c>
      <c r="M234" s="11">
        <v>0</v>
      </c>
      <c r="N234" s="11">
        <v>1</v>
      </c>
      <c r="O234" s="11">
        <v>4</v>
      </c>
      <c r="P234" s="23">
        <f>IF(AND(Tabela1[[#This Row],[EA Play Season Pass]]="yes",Tabela1[[#This Row],[Minecraft Season Pass]]="Yes"), "1", "0")*1</f>
        <v>0</v>
      </c>
      <c r="Q234" s="23">
        <f>IF(AND(Tabela1[[#This Row],[EA Play Season Pass]]="No",Tabela1[[#This Row],[Minecraft Season Pass]]="No"), "1", "0")*1</f>
        <v>1</v>
      </c>
      <c r="R234" s="28">
        <f>IF(AND(Tabela1[[#This Row],[EA Play Season Pass]]="No",Tabela1[[#This Row],[Minecraft Season Pass]]="Yes"), "1", "0")*1</f>
        <v>0</v>
      </c>
      <c r="S234" s="28">
        <f>IF(AND(Tabela1[[#This Row],[EA Play Season Pass]]="Yes",Tabela1[[#This Row],[Minecraft Season Pass]]="No"), "1", "0")*1</f>
        <v>0</v>
      </c>
    </row>
    <row r="235" spans="1:19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24">
        <f>IF(Tabela1[[#This Row],[EA Play Season Pass]]="Yes",1,0)</f>
        <v>1</v>
      </c>
      <c r="J235" s="11">
        <v>30</v>
      </c>
      <c r="K235" s="8" t="s">
        <v>19</v>
      </c>
      <c r="L235" s="24">
        <f>IF(Tabela1[[#This Row],[Minecraft Season Pass]]="Yes",1,0)</f>
        <v>1</v>
      </c>
      <c r="M235" s="11">
        <v>20</v>
      </c>
      <c r="N235" s="11">
        <v>7</v>
      </c>
      <c r="O235" s="11">
        <v>58</v>
      </c>
      <c r="P235" s="23">
        <f>IF(AND(Tabela1[[#This Row],[EA Play Season Pass]]="yes",Tabela1[[#This Row],[Minecraft Season Pass]]="Yes"), "1", "0")*1</f>
        <v>1</v>
      </c>
      <c r="Q235" s="23">
        <f>IF(AND(Tabela1[[#This Row],[EA Play Season Pass]]="No",Tabela1[[#This Row],[Minecraft Season Pass]]="No"), "1", "0")*1</f>
        <v>0</v>
      </c>
      <c r="R235" s="28">
        <f>IF(AND(Tabela1[[#This Row],[EA Play Season Pass]]="No",Tabela1[[#This Row],[Minecraft Season Pass]]="Yes"), "1", "0")*1</f>
        <v>0</v>
      </c>
      <c r="S235" s="28">
        <f>IF(AND(Tabela1[[#This Row],[EA Play Season Pass]]="Yes",Tabela1[[#This Row],[Minecraft Season Pass]]="No"), "1", "0")*1</f>
        <v>0</v>
      </c>
    </row>
    <row r="236" spans="1:19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24">
        <f>IF(Tabela1[[#This Row],[EA Play Season Pass]]="Yes",1,0)</f>
        <v>0</v>
      </c>
      <c r="J236" s="11" t="s">
        <v>311</v>
      </c>
      <c r="K236" s="8" t="s">
        <v>19</v>
      </c>
      <c r="L236" s="24">
        <f>IF(Tabela1[[#This Row],[Minecraft Season Pass]]="Yes",1,0)</f>
        <v>1</v>
      </c>
      <c r="M236" s="11">
        <v>20</v>
      </c>
      <c r="N236" s="11">
        <v>10</v>
      </c>
      <c r="O236" s="11">
        <v>20</v>
      </c>
      <c r="P236" s="23">
        <f>IF(AND(Tabela1[[#This Row],[EA Play Season Pass]]="yes",Tabela1[[#This Row],[Minecraft Season Pass]]="Yes"), "1", "0")*1</f>
        <v>0</v>
      </c>
      <c r="Q236" s="23">
        <f>IF(AND(Tabela1[[#This Row],[EA Play Season Pass]]="No",Tabela1[[#This Row],[Minecraft Season Pass]]="No"), "1", "0")*1</f>
        <v>0</v>
      </c>
      <c r="R236" s="28">
        <f>IF(AND(Tabela1[[#This Row],[EA Play Season Pass]]="No",Tabela1[[#This Row],[Minecraft Season Pass]]="Yes"), "1", "0")*1</f>
        <v>1</v>
      </c>
      <c r="S236" s="28">
        <f>IF(AND(Tabela1[[#This Row],[EA Play Season Pass]]="Yes",Tabela1[[#This Row],[Minecraft Season Pass]]="No"), "1", "0")*1</f>
        <v>0</v>
      </c>
    </row>
    <row r="237" spans="1:19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24">
        <f>IF(Tabela1[[#This Row],[EA Play Season Pass]]="Yes",1,0)</f>
        <v>0</v>
      </c>
      <c r="J237" s="11" t="s">
        <v>311</v>
      </c>
      <c r="K237" s="8" t="s">
        <v>23</v>
      </c>
      <c r="L237" s="24">
        <f>IF(Tabela1[[#This Row],[Minecraft Season Pass]]="Yes",1,0)</f>
        <v>0</v>
      </c>
      <c r="M237" s="11">
        <v>0</v>
      </c>
      <c r="N237" s="11">
        <v>0</v>
      </c>
      <c r="O237" s="11">
        <v>5</v>
      </c>
      <c r="P237" s="23">
        <f>IF(AND(Tabela1[[#This Row],[EA Play Season Pass]]="yes",Tabela1[[#This Row],[Minecraft Season Pass]]="Yes"), "1", "0")*1</f>
        <v>0</v>
      </c>
      <c r="Q237" s="23">
        <f>IF(AND(Tabela1[[#This Row],[EA Play Season Pass]]="No",Tabela1[[#This Row],[Minecraft Season Pass]]="No"), "1", "0")*1</f>
        <v>1</v>
      </c>
      <c r="R237" s="28">
        <f>IF(AND(Tabela1[[#This Row],[EA Play Season Pass]]="No",Tabela1[[#This Row],[Minecraft Season Pass]]="Yes"), "1", "0")*1</f>
        <v>0</v>
      </c>
      <c r="S237" s="28">
        <f>IF(AND(Tabela1[[#This Row],[EA Play Season Pass]]="Yes",Tabela1[[#This Row],[Minecraft Season Pass]]="No"), "1", "0")*1</f>
        <v>0</v>
      </c>
    </row>
    <row r="238" spans="1:19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24">
        <f>IF(Tabela1[[#This Row],[EA Play Season Pass]]="Yes",1,0)</f>
        <v>1</v>
      </c>
      <c r="J238" s="11">
        <v>30</v>
      </c>
      <c r="K238" s="8" t="s">
        <v>19</v>
      </c>
      <c r="L238" s="24">
        <f>IF(Tabela1[[#This Row],[Minecraft Season Pass]]="Yes",1,0)</f>
        <v>1</v>
      </c>
      <c r="M238" s="11">
        <v>20</v>
      </c>
      <c r="N238" s="11">
        <v>15</v>
      </c>
      <c r="O238" s="11">
        <v>50</v>
      </c>
      <c r="P238" s="23">
        <f>IF(AND(Tabela1[[#This Row],[EA Play Season Pass]]="yes",Tabela1[[#This Row],[Minecraft Season Pass]]="Yes"), "1", "0")*1</f>
        <v>1</v>
      </c>
      <c r="Q238" s="23">
        <f>IF(AND(Tabela1[[#This Row],[EA Play Season Pass]]="No",Tabela1[[#This Row],[Minecraft Season Pass]]="No"), "1", "0")*1</f>
        <v>0</v>
      </c>
      <c r="R238" s="28">
        <f>IF(AND(Tabela1[[#This Row],[EA Play Season Pass]]="No",Tabela1[[#This Row],[Minecraft Season Pass]]="Yes"), "1", "0")*1</f>
        <v>0</v>
      </c>
      <c r="S238" s="28">
        <f>IF(AND(Tabela1[[#This Row],[EA Play Season Pass]]="Yes",Tabela1[[#This Row],[Minecraft Season Pass]]="No"), "1", "0")*1</f>
        <v>0</v>
      </c>
    </row>
    <row r="239" spans="1:19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24">
        <f>IF(Tabela1[[#This Row],[EA Play Season Pass]]="Yes",1,0)</f>
        <v>0</v>
      </c>
      <c r="J239" s="11" t="s">
        <v>311</v>
      </c>
      <c r="K239" s="8" t="s">
        <v>19</v>
      </c>
      <c r="L239" s="24">
        <f>IF(Tabela1[[#This Row],[Minecraft Season Pass]]="Yes",1,0)</f>
        <v>1</v>
      </c>
      <c r="M239" s="11">
        <v>20</v>
      </c>
      <c r="N239" s="11">
        <v>12</v>
      </c>
      <c r="O239" s="11">
        <v>18</v>
      </c>
      <c r="P239" s="23">
        <f>IF(AND(Tabela1[[#This Row],[EA Play Season Pass]]="yes",Tabela1[[#This Row],[Minecraft Season Pass]]="Yes"), "1", "0")*1</f>
        <v>0</v>
      </c>
      <c r="Q239" s="23">
        <f>IF(AND(Tabela1[[#This Row],[EA Play Season Pass]]="No",Tabela1[[#This Row],[Minecraft Season Pass]]="No"), "1", "0")*1</f>
        <v>0</v>
      </c>
      <c r="R239" s="28">
        <f>IF(AND(Tabela1[[#This Row],[EA Play Season Pass]]="No",Tabela1[[#This Row],[Minecraft Season Pass]]="Yes"), "1", "0")*1</f>
        <v>1</v>
      </c>
      <c r="S239" s="28">
        <f>IF(AND(Tabela1[[#This Row],[EA Play Season Pass]]="Yes",Tabela1[[#This Row],[Minecraft Season Pass]]="No"), "1", "0")*1</f>
        <v>0</v>
      </c>
    </row>
    <row r="240" spans="1:19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24">
        <f>IF(Tabela1[[#This Row],[EA Play Season Pass]]="Yes",1,0)</f>
        <v>0</v>
      </c>
      <c r="J240" s="11" t="s">
        <v>311</v>
      </c>
      <c r="K240" s="8" t="s">
        <v>23</v>
      </c>
      <c r="L240" s="24">
        <f>IF(Tabela1[[#This Row],[Minecraft Season Pass]]="Yes",1,0)</f>
        <v>0</v>
      </c>
      <c r="M240" s="11">
        <v>0</v>
      </c>
      <c r="N240" s="11">
        <v>2</v>
      </c>
      <c r="O240" s="11">
        <v>3</v>
      </c>
      <c r="P240" s="23">
        <f>IF(AND(Tabela1[[#This Row],[EA Play Season Pass]]="yes",Tabela1[[#This Row],[Minecraft Season Pass]]="Yes"), "1", "0")*1</f>
        <v>0</v>
      </c>
      <c r="Q240" s="23">
        <f>IF(AND(Tabela1[[#This Row],[EA Play Season Pass]]="No",Tabela1[[#This Row],[Minecraft Season Pass]]="No"), "1", "0")*1</f>
        <v>1</v>
      </c>
      <c r="R240" s="28">
        <f>IF(AND(Tabela1[[#This Row],[EA Play Season Pass]]="No",Tabela1[[#This Row],[Minecraft Season Pass]]="Yes"), "1", "0")*1</f>
        <v>0</v>
      </c>
      <c r="S240" s="28">
        <f>IF(AND(Tabela1[[#This Row],[EA Play Season Pass]]="Yes",Tabela1[[#This Row],[Minecraft Season Pass]]="No"), "1", "0")*1</f>
        <v>0</v>
      </c>
    </row>
    <row r="241" spans="1:19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24">
        <f>IF(Tabela1[[#This Row],[EA Play Season Pass]]="Yes",1,0)</f>
        <v>1</v>
      </c>
      <c r="J241" s="11">
        <v>30</v>
      </c>
      <c r="K241" s="8" t="s">
        <v>19</v>
      </c>
      <c r="L241" s="24">
        <f>IF(Tabela1[[#This Row],[Minecraft Season Pass]]="Yes",1,0)</f>
        <v>1</v>
      </c>
      <c r="M241" s="11">
        <v>20</v>
      </c>
      <c r="N241" s="11">
        <v>5</v>
      </c>
      <c r="O241" s="11">
        <v>60</v>
      </c>
      <c r="P241" s="23">
        <f>IF(AND(Tabela1[[#This Row],[EA Play Season Pass]]="yes",Tabela1[[#This Row],[Minecraft Season Pass]]="Yes"), "1", "0")*1</f>
        <v>1</v>
      </c>
      <c r="Q241" s="23">
        <f>IF(AND(Tabela1[[#This Row],[EA Play Season Pass]]="No",Tabela1[[#This Row],[Minecraft Season Pass]]="No"), "1", "0")*1</f>
        <v>0</v>
      </c>
      <c r="R241" s="28">
        <f>IF(AND(Tabela1[[#This Row],[EA Play Season Pass]]="No",Tabela1[[#This Row],[Minecraft Season Pass]]="Yes"), "1", "0")*1</f>
        <v>0</v>
      </c>
      <c r="S241" s="28">
        <f>IF(AND(Tabela1[[#This Row],[EA Play Season Pass]]="Yes",Tabela1[[#This Row],[Minecraft Season Pass]]="No"), "1", "0")*1</f>
        <v>0</v>
      </c>
    </row>
    <row r="242" spans="1:19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24">
        <f>IF(Tabela1[[#This Row],[EA Play Season Pass]]="Yes",1,0)</f>
        <v>0</v>
      </c>
      <c r="J242" s="11" t="s">
        <v>311</v>
      </c>
      <c r="K242" s="8" t="s">
        <v>19</v>
      </c>
      <c r="L242" s="24">
        <f>IF(Tabela1[[#This Row],[Minecraft Season Pass]]="Yes",1,0)</f>
        <v>1</v>
      </c>
      <c r="M242" s="11">
        <v>20</v>
      </c>
      <c r="N242" s="11">
        <v>10</v>
      </c>
      <c r="O242" s="11">
        <v>20</v>
      </c>
      <c r="P242" s="23">
        <f>IF(AND(Tabela1[[#This Row],[EA Play Season Pass]]="yes",Tabela1[[#This Row],[Minecraft Season Pass]]="Yes"), "1", "0")*1</f>
        <v>0</v>
      </c>
      <c r="Q242" s="23">
        <f>IF(AND(Tabela1[[#This Row],[EA Play Season Pass]]="No",Tabela1[[#This Row],[Minecraft Season Pass]]="No"), "1", "0")*1</f>
        <v>0</v>
      </c>
      <c r="R242" s="28">
        <f>IF(AND(Tabela1[[#This Row],[EA Play Season Pass]]="No",Tabela1[[#This Row],[Minecraft Season Pass]]="Yes"), "1", "0")*1</f>
        <v>1</v>
      </c>
      <c r="S242" s="28">
        <f>IF(AND(Tabela1[[#This Row],[EA Play Season Pass]]="Yes",Tabela1[[#This Row],[Minecraft Season Pass]]="No"), "1", "0")*1</f>
        <v>0</v>
      </c>
    </row>
    <row r="243" spans="1:19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24">
        <f>IF(Tabela1[[#This Row],[EA Play Season Pass]]="Yes",1,0)</f>
        <v>0</v>
      </c>
      <c r="J243" s="11" t="s">
        <v>311</v>
      </c>
      <c r="K243" s="8" t="s">
        <v>23</v>
      </c>
      <c r="L243" s="24">
        <f>IF(Tabela1[[#This Row],[Minecraft Season Pass]]="Yes",1,0)</f>
        <v>0</v>
      </c>
      <c r="M243" s="11">
        <v>0</v>
      </c>
      <c r="N243" s="11">
        <v>0</v>
      </c>
      <c r="O243" s="11">
        <v>5</v>
      </c>
      <c r="P243" s="23">
        <f>IF(AND(Tabela1[[#This Row],[EA Play Season Pass]]="yes",Tabela1[[#This Row],[Minecraft Season Pass]]="Yes"), "1", "0")*1</f>
        <v>0</v>
      </c>
      <c r="Q243" s="23">
        <f>IF(AND(Tabela1[[#This Row],[EA Play Season Pass]]="No",Tabela1[[#This Row],[Minecraft Season Pass]]="No"), "1", "0")*1</f>
        <v>1</v>
      </c>
      <c r="R243" s="28">
        <f>IF(AND(Tabela1[[#This Row],[EA Play Season Pass]]="No",Tabela1[[#This Row],[Minecraft Season Pass]]="Yes"), "1", "0")*1</f>
        <v>0</v>
      </c>
      <c r="S243" s="28">
        <f>IF(AND(Tabela1[[#This Row],[EA Play Season Pass]]="Yes",Tabela1[[#This Row],[Minecraft Season Pass]]="No"), "1", "0")*1</f>
        <v>0</v>
      </c>
    </row>
    <row r="244" spans="1:19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24">
        <f>IF(Tabela1[[#This Row],[EA Play Season Pass]]="Yes",1,0)</f>
        <v>1</v>
      </c>
      <c r="J244" s="11">
        <v>30</v>
      </c>
      <c r="K244" s="8" t="s">
        <v>19</v>
      </c>
      <c r="L244" s="24">
        <f>IF(Tabela1[[#This Row],[Minecraft Season Pass]]="Yes",1,0)</f>
        <v>1</v>
      </c>
      <c r="M244" s="11">
        <v>20</v>
      </c>
      <c r="N244" s="11">
        <v>3</v>
      </c>
      <c r="O244" s="11">
        <v>62</v>
      </c>
      <c r="P244" s="23">
        <f>IF(AND(Tabela1[[#This Row],[EA Play Season Pass]]="yes",Tabela1[[#This Row],[Minecraft Season Pass]]="Yes"), "1", "0")*1</f>
        <v>1</v>
      </c>
      <c r="Q244" s="23">
        <f>IF(AND(Tabela1[[#This Row],[EA Play Season Pass]]="No",Tabela1[[#This Row],[Minecraft Season Pass]]="No"), "1", "0")*1</f>
        <v>0</v>
      </c>
      <c r="R244" s="28">
        <f>IF(AND(Tabela1[[#This Row],[EA Play Season Pass]]="No",Tabela1[[#This Row],[Minecraft Season Pass]]="Yes"), "1", "0")*1</f>
        <v>0</v>
      </c>
      <c r="S244" s="28">
        <f>IF(AND(Tabela1[[#This Row],[EA Play Season Pass]]="Yes",Tabela1[[#This Row],[Minecraft Season Pass]]="No"), "1", "0")*1</f>
        <v>0</v>
      </c>
    </row>
    <row r="245" spans="1:19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24">
        <f>IF(Tabela1[[#This Row],[EA Play Season Pass]]="Yes",1,0)</f>
        <v>0</v>
      </c>
      <c r="J245" s="11" t="s">
        <v>311</v>
      </c>
      <c r="K245" s="8" t="s">
        <v>19</v>
      </c>
      <c r="L245" s="24">
        <f>IF(Tabela1[[#This Row],[Minecraft Season Pass]]="Yes",1,0)</f>
        <v>1</v>
      </c>
      <c r="M245" s="11">
        <v>20</v>
      </c>
      <c r="N245" s="11">
        <v>15</v>
      </c>
      <c r="O245" s="11">
        <v>15</v>
      </c>
      <c r="P245" s="23">
        <f>IF(AND(Tabela1[[#This Row],[EA Play Season Pass]]="yes",Tabela1[[#This Row],[Minecraft Season Pass]]="Yes"), "1", "0")*1</f>
        <v>0</v>
      </c>
      <c r="Q245" s="23">
        <f>IF(AND(Tabela1[[#This Row],[EA Play Season Pass]]="No",Tabela1[[#This Row],[Minecraft Season Pass]]="No"), "1", "0")*1</f>
        <v>0</v>
      </c>
      <c r="R245" s="28">
        <f>IF(AND(Tabela1[[#This Row],[EA Play Season Pass]]="No",Tabela1[[#This Row],[Minecraft Season Pass]]="Yes"), "1", "0")*1</f>
        <v>1</v>
      </c>
      <c r="S245" s="28">
        <f>IF(AND(Tabela1[[#This Row],[EA Play Season Pass]]="Yes",Tabela1[[#This Row],[Minecraft Season Pass]]="No"), "1", "0")*1</f>
        <v>0</v>
      </c>
    </row>
    <row r="246" spans="1:19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24">
        <f>IF(Tabela1[[#This Row],[EA Play Season Pass]]="Yes",1,0)</f>
        <v>0</v>
      </c>
      <c r="J246" s="11" t="s">
        <v>311</v>
      </c>
      <c r="K246" s="8" t="s">
        <v>23</v>
      </c>
      <c r="L246" s="24">
        <f>IF(Tabela1[[#This Row],[Minecraft Season Pass]]="Yes",1,0)</f>
        <v>0</v>
      </c>
      <c r="M246" s="11">
        <v>0</v>
      </c>
      <c r="N246" s="11">
        <v>1</v>
      </c>
      <c r="O246" s="11">
        <v>4</v>
      </c>
      <c r="P246" s="23">
        <f>IF(AND(Tabela1[[#This Row],[EA Play Season Pass]]="yes",Tabela1[[#This Row],[Minecraft Season Pass]]="Yes"), "1", "0")*1</f>
        <v>0</v>
      </c>
      <c r="Q246" s="23">
        <f>IF(AND(Tabela1[[#This Row],[EA Play Season Pass]]="No",Tabela1[[#This Row],[Minecraft Season Pass]]="No"), "1", "0")*1</f>
        <v>1</v>
      </c>
      <c r="R246" s="28">
        <f>IF(AND(Tabela1[[#This Row],[EA Play Season Pass]]="No",Tabela1[[#This Row],[Minecraft Season Pass]]="Yes"), "1", "0")*1</f>
        <v>0</v>
      </c>
      <c r="S246" s="28">
        <f>IF(AND(Tabela1[[#This Row],[EA Play Season Pass]]="Yes",Tabela1[[#This Row],[Minecraft Season Pass]]="No"), "1", "0")*1</f>
        <v>0</v>
      </c>
    </row>
    <row r="247" spans="1:19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24">
        <f>IF(Tabela1[[#This Row],[EA Play Season Pass]]="Yes",1,0)</f>
        <v>1</v>
      </c>
      <c r="J247" s="11">
        <v>30</v>
      </c>
      <c r="K247" s="8" t="s">
        <v>19</v>
      </c>
      <c r="L247" s="24">
        <f>IF(Tabela1[[#This Row],[Minecraft Season Pass]]="Yes",1,0)</f>
        <v>1</v>
      </c>
      <c r="M247" s="11">
        <v>20</v>
      </c>
      <c r="N247" s="11">
        <v>7</v>
      </c>
      <c r="O247" s="11">
        <v>58</v>
      </c>
      <c r="P247" s="23">
        <f>IF(AND(Tabela1[[#This Row],[EA Play Season Pass]]="yes",Tabela1[[#This Row],[Minecraft Season Pass]]="Yes"), "1", "0")*1</f>
        <v>1</v>
      </c>
      <c r="Q247" s="23">
        <f>IF(AND(Tabela1[[#This Row],[EA Play Season Pass]]="No",Tabela1[[#This Row],[Minecraft Season Pass]]="No"), "1", "0")*1</f>
        <v>0</v>
      </c>
      <c r="R247" s="28">
        <f>IF(AND(Tabela1[[#This Row],[EA Play Season Pass]]="No",Tabela1[[#This Row],[Minecraft Season Pass]]="Yes"), "1", "0")*1</f>
        <v>0</v>
      </c>
      <c r="S247" s="28">
        <f>IF(AND(Tabela1[[#This Row],[EA Play Season Pass]]="Yes",Tabela1[[#This Row],[Minecraft Season Pass]]="No"), "1", "0")*1</f>
        <v>0</v>
      </c>
    </row>
    <row r="248" spans="1:19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24">
        <f>IF(Tabela1[[#This Row],[EA Play Season Pass]]="Yes",1,0)</f>
        <v>0</v>
      </c>
      <c r="J248" s="11" t="s">
        <v>311</v>
      </c>
      <c r="K248" s="8" t="s">
        <v>19</v>
      </c>
      <c r="L248" s="24">
        <f>IF(Tabela1[[#This Row],[Minecraft Season Pass]]="Yes",1,0)</f>
        <v>1</v>
      </c>
      <c r="M248" s="11">
        <v>20</v>
      </c>
      <c r="N248" s="11">
        <v>10</v>
      </c>
      <c r="O248" s="11">
        <v>20</v>
      </c>
      <c r="P248" s="23">
        <f>IF(AND(Tabela1[[#This Row],[EA Play Season Pass]]="yes",Tabela1[[#This Row],[Minecraft Season Pass]]="Yes"), "1", "0")*1</f>
        <v>0</v>
      </c>
      <c r="Q248" s="23">
        <f>IF(AND(Tabela1[[#This Row],[EA Play Season Pass]]="No",Tabela1[[#This Row],[Minecraft Season Pass]]="No"), "1", "0")*1</f>
        <v>0</v>
      </c>
      <c r="R248" s="28">
        <f>IF(AND(Tabela1[[#This Row],[EA Play Season Pass]]="No",Tabela1[[#This Row],[Minecraft Season Pass]]="Yes"), "1", "0")*1</f>
        <v>1</v>
      </c>
      <c r="S248" s="28">
        <f>IF(AND(Tabela1[[#This Row],[EA Play Season Pass]]="Yes",Tabela1[[#This Row],[Minecraft Season Pass]]="No"), "1", "0")*1</f>
        <v>0</v>
      </c>
    </row>
    <row r="249" spans="1:19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24">
        <f>IF(Tabela1[[#This Row],[EA Play Season Pass]]="Yes",1,0)</f>
        <v>0</v>
      </c>
      <c r="J249" s="11" t="s">
        <v>311</v>
      </c>
      <c r="K249" s="8" t="s">
        <v>23</v>
      </c>
      <c r="L249" s="24">
        <f>IF(Tabela1[[#This Row],[Minecraft Season Pass]]="Yes",1,0)</f>
        <v>0</v>
      </c>
      <c r="M249" s="11">
        <v>0</v>
      </c>
      <c r="N249" s="11">
        <v>0</v>
      </c>
      <c r="O249" s="11">
        <v>5</v>
      </c>
      <c r="P249" s="23">
        <f>IF(AND(Tabela1[[#This Row],[EA Play Season Pass]]="yes",Tabela1[[#This Row],[Minecraft Season Pass]]="Yes"), "1", "0")*1</f>
        <v>0</v>
      </c>
      <c r="Q249" s="23">
        <f>IF(AND(Tabela1[[#This Row],[EA Play Season Pass]]="No",Tabela1[[#This Row],[Minecraft Season Pass]]="No"), "1", "0")*1</f>
        <v>1</v>
      </c>
      <c r="R249" s="28">
        <f>IF(AND(Tabela1[[#This Row],[EA Play Season Pass]]="No",Tabela1[[#This Row],[Minecraft Season Pass]]="Yes"), "1", "0")*1</f>
        <v>0</v>
      </c>
      <c r="S249" s="28">
        <f>IF(AND(Tabela1[[#This Row],[EA Play Season Pass]]="Yes",Tabela1[[#This Row],[Minecraft Season Pass]]="No"), "1", "0")*1</f>
        <v>0</v>
      </c>
    </row>
    <row r="250" spans="1:19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24">
        <f>IF(Tabela1[[#This Row],[EA Play Season Pass]]="Yes",1,0)</f>
        <v>1</v>
      </c>
      <c r="J250" s="11">
        <v>30</v>
      </c>
      <c r="K250" s="8" t="s">
        <v>19</v>
      </c>
      <c r="L250" s="24">
        <f>IF(Tabela1[[#This Row],[Minecraft Season Pass]]="Yes",1,0)</f>
        <v>1</v>
      </c>
      <c r="M250" s="11">
        <v>20</v>
      </c>
      <c r="N250" s="11">
        <v>20</v>
      </c>
      <c r="O250" s="11">
        <v>45</v>
      </c>
      <c r="P250" s="23">
        <f>IF(AND(Tabela1[[#This Row],[EA Play Season Pass]]="yes",Tabela1[[#This Row],[Minecraft Season Pass]]="Yes"), "1", "0")*1</f>
        <v>1</v>
      </c>
      <c r="Q250" s="23">
        <f>IF(AND(Tabela1[[#This Row],[EA Play Season Pass]]="No",Tabela1[[#This Row],[Minecraft Season Pass]]="No"), "1", "0")*1</f>
        <v>0</v>
      </c>
      <c r="R250" s="28">
        <f>IF(AND(Tabela1[[#This Row],[EA Play Season Pass]]="No",Tabela1[[#This Row],[Minecraft Season Pass]]="Yes"), "1", "0")*1</f>
        <v>0</v>
      </c>
      <c r="S250" s="28">
        <f>IF(AND(Tabela1[[#This Row],[EA Play Season Pass]]="Yes",Tabela1[[#This Row],[Minecraft Season Pass]]="No"), "1", "0")*1</f>
        <v>0</v>
      </c>
    </row>
    <row r="251" spans="1:19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24">
        <f>IF(Tabela1[[#This Row],[EA Play Season Pass]]="Yes",1,0)</f>
        <v>0</v>
      </c>
      <c r="J251" s="11" t="s">
        <v>311</v>
      </c>
      <c r="K251" s="8" t="s">
        <v>19</v>
      </c>
      <c r="L251" s="24">
        <f>IF(Tabela1[[#This Row],[Minecraft Season Pass]]="Yes",1,0)</f>
        <v>1</v>
      </c>
      <c r="M251" s="11">
        <v>20</v>
      </c>
      <c r="N251" s="11">
        <v>15</v>
      </c>
      <c r="O251" s="11">
        <v>15</v>
      </c>
      <c r="P251" s="23">
        <f>IF(AND(Tabela1[[#This Row],[EA Play Season Pass]]="yes",Tabela1[[#This Row],[Minecraft Season Pass]]="Yes"), "1", "0")*1</f>
        <v>0</v>
      </c>
      <c r="Q251" s="23">
        <f>IF(AND(Tabela1[[#This Row],[EA Play Season Pass]]="No",Tabela1[[#This Row],[Minecraft Season Pass]]="No"), "1", "0")*1</f>
        <v>0</v>
      </c>
      <c r="R251" s="28">
        <f>IF(AND(Tabela1[[#This Row],[EA Play Season Pass]]="No",Tabela1[[#This Row],[Minecraft Season Pass]]="Yes"), "1", "0")*1</f>
        <v>1</v>
      </c>
      <c r="S251" s="28">
        <f>IF(AND(Tabela1[[#This Row],[EA Play Season Pass]]="Yes",Tabela1[[#This Row],[Minecraft Season Pass]]="No"), "1", "0")*1</f>
        <v>0</v>
      </c>
    </row>
    <row r="252" spans="1:19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24">
        <f>IF(Tabela1[[#This Row],[EA Play Season Pass]]="Yes",1,0)</f>
        <v>0</v>
      </c>
      <c r="J252" s="11" t="s">
        <v>311</v>
      </c>
      <c r="K252" s="8" t="s">
        <v>23</v>
      </c>
      <c r="L252" s="24">
        <f>IF(Tabela1[[#This Row],[Minecraft Season Pass]]="Yes",1,0)</f>
        <v>0</v>
      </c>
      <c r="M252" s="11">
        <v>0</v>
      </c>
      <c r="N252" s="11">
        <v>1</v>
      </c>
      <c r="O252" s="11">
        <v>4</v>
      </c>
      <c r="P252" s="23">
        <f>IF(AND(Tabela1[[#This Row],[EA Play Season Pass]]="yes",Tabela1[[#This Row],[Minecraft Season Pass]]="Yes"), "1", "0")*1</f>
        <v>0</v>
      </c>
      <c r="Q252" s="23">
        <f>IF(AND(Tabela1[[#This Row],[EA Play Season Pass]]="No",Tabela1[[#This Row],[Minecraft Season Pass]]="No"), "1", "0")*1</f>
        <v>1</v>
      </c>
      <c r="R252" s="28">
        <f>IF(AND(Tabela1[[#This Row],[EA Play Season Pass]]="No",Tabela1[[#This Row],[Minecraft Season Pass]]="Yes"), "1", "0")*1</f>
        <v>0</v>
      </c>
      <c r="S252" s="28">
        <f>IF(AND(Tabela1[[#This Row],[EA Play Season Pass]]="Yes",Tabela1[[#This Row],[Minecraft Season Pass]]="No"), "1", "0")*1</f>
        <v>0</v>
      </c>
    </row>
    <row r="253" spans="1:19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24">
        <f>IF(Tabela1[[#This Row],[EA Play Season Pass]]="Yes",1,0)</f>
        <v>1</v>
      </c>
      <c r="J253" s="11">
        <v>30</v>
      </c>
      <c r="K253" s="8" t="s">
        <v>19</v>
      </c>
      <c r="L253" s="24">
        <f>IF(Tabela1[[#This Row],[Minecraft Season Pass]]="Yes",1,0)</f>
        <v>1</v>
      </c>
      <c r="M253" s="11">
        <v>20</v>
      </c>
      <c r="N253" s="11">
        <v>3</v>
      </c>
      <c r="O253" s="11">
        <v>62</v>
      </c>
      <c r="P253" s="23">
        <f>IF(AND(Tabela1[[#This Row],[EA Play Season Pass]]="yes",Tabela1[[#This Row],[Minecraft Season Pass]]="Yes"), "1", "0")*1</f>
        <v>1</v>
      </c>
      <c r="Q253" s="23">
        <f>IF(AND(Tabela1[[#This Row],[EA Play Season Pass]]="No",Tabela1[[#This Row],[Minecraft Season Pass]]="No"), "1", "0")*1</f>
        <v>0</v>
      </c>
      <c r="R253" s="28">
        <f>IF(AND(Tabela1[[#This Row],[EA Play Season Pass]]="No",Tabela1[[#This Row],[Minecraft Season Pass]]="Yes"), "1", "0")*1</f>
        <v>0</v>
      </c>
      <c r="S253" s="28">
        <f>IF(AND(Tabela1[[#This Row],[EA Play Season Pass]]="Yes",Tabela1[[#This Row],[Minecraft Season Pass]]="No"), "1", "0")*1</f>
        <v>0</v>
      </c>
    </row>
    <row r="254" spans="1:19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24">
        <f>IF(Tabela1[[#This Row],[EA Play Season Pass]]="Yes",1,0)</f>
        <v>0</v>
      </c>
      <c r="J254" s="11" t="s">
        <v>311</v>
      </c>
      <c r="K254" s="8" t="s">
        <v>19</v>
      </c>
      <c r="L254" s="24">
        <f>IF(Tabela1[[#This Row],[Minecraft Season Pass]]="Yes",1,0)</f>
        <v>1</v>
      </c>
      <c r="M254" s="11">
        <v>20</v>
      </c>
      <c r="N254" s="11">
        <v>10</v>
      </c>
      <c r="O254" s="11">
        <v>20</v>
      </c>
      <c r="P254" s="23">
        <f>IF(AND(Tabela1[[#This Row],[EA Play Season Pass]]="yes",Tabela1[[#This Row],[Minecraft Season Pass]]="Yes"), "1", "0")*1</f>
        <v>0</v>
      </c>
      <c r="Q254" s="23">
        <f>IF(AND(Tabela1[[#This Row],[EA Play Season Pass]]="No",Tabela1[[#This Row],[Minecraft Season Pass]]="No"), "1", "0")*1</f>
        <v>0</v>
      </c>
      <c r="R254" s="28">
        <f>IF(AND(Tabela1[[#This Row],[EA Play Season Pass]]="No",Tabela1[[#This Row],[Minecraft Season Pass]]="Yes"), "1", "0")*1</f>
        <v>1</v>
      </c>
      <c r="S254" s="28">
        <f>IF(AND(Tabela1[[#This Row],[EA Play Season Pass]]="Yes",Tabela1[[#This Row],[Minecraft Season Pass]]="No"), "1", "0")*1</f>
        <v>0</v>
      </c>
    </row>
    <row r="255" spans="1:19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24">
        <f>IF(Tabela1[[#This Row],[EA Play Season Pass]]="Yes",1,0)</f>
        <v>0</v>
      </c>
      <c r="J255" s="11" t="s">
        <v>311</v>
      </c>
      <c r="K255" s="8" t="s">
        <v>23</v>
      </c>
      <c r="L255" s="24">
        <f>IF(Tabela1[[#This Row],[Minecraft Season Pass]]="Yes",1,0)</f>
        <v>0</v>
      </c>
      <c r="M255" s="11">
        <v>0</v>
      </c>
      <c r="N255" s="11">
        <v>0</v>
      </c>
      <c r="O255" s="11">
        <v>5</v>
      </c>
      <c r="P255" s="23">
        <f>IF(AND(Tabela1[[#This Row],[EA Play Season Pass]]="yes",Tabela1[[#This Row],[Minecraft Season Pass]]="Yes"), "1", "0")*1</f>
        <v>0</v>
      </c>
      <c r="Q255" s="23">
        <f>IF(AND(Tabela1[[#This Row],[EA Play Season Pass]]="No",Tabela1[[#This Row],[Minecraft Season Pass]]="No"), "1", "0")*1</f>
        <v>1</v>
      </c>
      <c r="R255" s="28">
        <f>IF(AND(Tabela1[[#This Row],[EA Play Season Pass]]="No",Tabela1[[#This Row],[Minecraft Season Pass]]="Yes"), "1", "0")*1</f>
        <v>0</v>
      </c>
      <c r="S255" s="28">
        <f>IF(AND(Tabela1[[#This Row],[EA Play Season Pass]]="Yes",Tabela1[[#This Row],[Minecraft Season Pass]]="No"), "1", "0")*1</f>
        <v>0</v>
      </c>
    </row>
    <row r="256" spans="1:19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24">
        <f>IF(Tabela1[[#This Row],[EA Play Season Pass]]="Yes",1,0)</f>
        <v>1</v>
      </c>
      <c r="J256" s="11">
        <v>30</v>
      </c>
      <c r="K256" s="8" t="s">
        <v>19</v>
      </c>
      <c r="L256" s="24">
        <f>IF(Tabela1[[#This Row],[Minecraft Season Pass]]="Yes",1,0)</f>
        <v>1</v>
      </c>
      <c r="M256" s="11">
        <v>20</v>
      </c>
      <c r="N256" s="11">
        <v>15</v>
      </c>
      <c r="O256" s="11">
        <v>50</v>
      </c>
      <c r="P256" s="23">
        <f>IF(AND(Tabela1[[#This Row],[EA Play Season Pass]]="yes",Tabela1[[#This Row],[Minecraft Season Pass]]="Yes"), "1", "0")*1</f>
        <v>1</v>
      </c>
      <c r="Q256" s="23">
        <f>IF(AND(Tabela1[[#This Row],[EA Play Season Pass]]="No",Tabela1[[#This Row],[Minecraft Season Pass]]="No"), "1", "0")*1</f>
        <v>0</v>
      </c>
      <c r="R256" s="28">
        <f>IF(AND(Tabela1[[#This Row],[EA Play Season Pass]]="No",Tabela1[[#This Row],[Minecraft Season Pass]]="Yes"), "1", "0")*1</f>
        <v>0</v>
      </c>
      <c r="S256" s="28">
        <f>IF(AND(Tabela1[[#This Row],[EA Play Season Pass]]="Yes",Tabela1[[#This Row],[Minecraft Season Pass]]="No"), "1", "0")*1</f>
        <v>0</v>
      </c>
    </row>
    <row r="257" spans="1:19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24">
        <f>IF(Tabela1[[#This Row],[EA Play Season Pass]]="Yes",1,0)</f>
        <v>0</v>
      </c>
      <c r="J257" s="11" t="s">
        <v>311</v>
      </c>
      <c r="K257" s="8" t="s">
        <v>23</v>
      </c>
      <c r="L257" s="24">
        <f>IF(Tabela1[[#This Row],[Minecraft Season Pass]]="Yes",1,0)</f>
        <v>0</v>
      </c>
      <c r="M257" s="11">
        <v>0</v>
      </c>
      <c r="N257" s="11">
        <v>0</v>
      </c>
      <c r="O257" s="11">
        <v>5</v>
      </c>
      <c r="P257" s="23">
        <f>IF(AND(Tabela1[[#This Row],[EA Play Season Pass]]="yes",Tabela1[[#This Row],[Minecraft Season Pass]]="Yes"), "1", "0")*1</f>
        <v>0</v>
      </c>
      <c r="Q257" s="23">
        <f>IF(AND(Tabela1[[#This Row],[EA Play Season Pass]]="No",Tabela1[[#This Row],[Minecraft Season Pass]]="No"), "1", "0")*1</f>
        <v>1</v>
      </c>
      <c r="R257" s="28">
        <f>IF(AND(Tabela1[[#This Row],[EA Play Season Pass]]="No",Tabela1[[#This Row],[Minecraft Season Pass]]="Yes"), "1", "0")*1</f>
        <v>0</v>
      </c>
      <c r="S257" s="28">
        <f>IF(AND(Tabela1[[#This Row],[EA Play Season Pass]]="Yes",Tabela1[[#This Row],[Minecraft Season Pass]]="No"), "1", "0")*1</f>
        <v>0</v>
      </c>
    </row>
    <row r="258" spans="1:19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24">
        <f>IF(Tabela1[[#This Row],[EA Play Season Pass]]="Yes",1,0)</f>
        <v>1</v>
      </c>
      <c r="J258" s="11">
        <v>30</v>
      </c>
      <c r="K258" s="8" t="s">
        <v>19</v>
      </c>
      <c r="L258" s="24">
        <f>IF(Tabela1[[#This Row],[Minecraft Season Pass]]="Yes",1,0)</f>
        <v>1</v>
      </c>
      <c r="M258" s="11">
        <v>20</v>
      </c>
      <c r="N258" s="11">
        <v>7</v>
      </c>
      <c r="O258" s="11">
        <v>58</v>
      </c>
      <c r="P258" s="23">
        <f>IF(AND(Tabela1[[#This Row],[EA Play Season Pass]]="yes",Tabela1[[#This Row],[Minecraft Season Pass]]="Yes"), "1", "0")*1</f>
        <v>1</v>
      </c>
      <c r="Q258" s="23">
        <f>IF(AND(Tabela1[[#This Row],[EA Play Season Pass]]="No",Tabela1[[#This Row],[Minecraft Season Pass]]="No"), "1", "0")*1</f>
        <v>0</v>
      </c>
      <c r="R258" s="28">
        <f>IF(AND(Tabela1[[#This Row],[EA Play Season Pass]]="No",Tabela1[[#This Row],[Minecraft Season Pass]]="Yes"), "1", "0")*1</f>
        <v>0</v>
      </c>
      <c r="S258" s="28">
        <f>IF(AND(Tabela1[[#This Row],[EA Play Season Pass]]="Yes",Tabela1[[#This Row],[Minecraft Season Pass]]="No"), "1", "0")*1</f>
        <v>0</v>
      </c>
    </row>
    <row r="259" spans="1:19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24">
        <f>IF(Tabela1[[#This Row],[EA Play Season Pass]]="Yes",1,0)</f>
        <v>0</v>
      </c>
      <c r="J259" s="11" t="s">
        <v>311</v>
      </c>
      <c r="K259" s="8" t="s">
        <v>19</v>
      </c>
      <c r="L259" s="24">
        <f>IF(Tabela1[[#This Row],[Minecraft Season Pass]]="Yes",1,0)</f>
        <v>1</v>
      </c>
      <c r="M259" s="11">
        <v>20</v>
      </c>
      <c r="N259" s="11">
        <v>10</v>
      </c>
      <c r="O259" s="11">
        <v>20</v>
      </c>
      <c r="P259" s="23">
        <f>IF(AND(Tabela1[[#This Row],[EA Play Season Pass]]="yes",Tabela1[[#This Row],[Minecraft Season Pass]]="Yes"), "1", "0")*1</f>
        <v>0</v>
      </c>
      <c r="Q259" s="23">
        <f>IF(AND(Tabela1[[#This Row],[EA Play Season Pass]]="No",Tabela1[[#This Row],[Minecraft Season Pass]]="No"), "1", "0")*1</f>
        <v>0</v>
      </c>
      <c r="R259" s="28">
        <f>IF(AND(Tabela1[[#This Row],[EA Play Season Pass]]="No",Tabela1[[#This Row],[Minecraft Season Pass]]="Yes"), "1", "0")*1</f>
        <v>1</v>
      </c>
      <c r="S259" s="28">
        <f>IF(AND(Tabela1[[#This Row],[EA Play Season Pass]]="Yes",Tabela1[[#This Row],[Minecraft Season Pass]]="No"), "1", "0")*1</f>
        <v>0</v>
      </c>
    </row>
    <row r="260" spans="1:19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24">
        <f>IF(Tabela1[[#This Row],[EA Play Season Pass]]="Yes",1,0)</f>
        <v>0</v>
      </c>
      <c r="J260" s="11" t="s">
        <v>311</v>
      </c>
      <c r="K260" s="8" t="s">
        <v>23</v>
      </c>
      <c r="L260" s="24">
        <f>IF(Tabela1[[#This Row],[Minecraft Season Pass]]="Yes",1,0)</f>
        <v>0</v>
      </c>
      <c r="M260" s="11">
        <v>0</v>
      </c>
      <c r="N260" s="11">
        <v>1</v>
      </c>
      <c r="O260" s="11">
        <v>4</v>
      </c>
      <c r="P260" s="23">
        <f>IF(AND(Tabela1[[#This Row],[EA Play Season Pass]]="yes",Tabela1[[#This Row],[Minecraft Season Pass]]="Yes"), "1", "0")*1</f>
        <v>0</v>
      </c>
      <c r="Q260" s="23">
        <f>IF(AND(Tabela1[[#This Row],[EA Play Season Pass]]="No",Tabela1[[#This Row],[Minecraft Season Pass]]="No"), "1", "0")*1</f>
        <v>1</v>
      </c>
      <c r="R260" s="28">
        <f>IF(AND(Tabela1[[#This Row],[EA Play Season Pass]]="No",Tabela1[[#This Row],[Minecraft Season Pass]]="Yes"), "1", "0")*1</f>
        <v>0</v>
      </c>
      <c r="S260" s="28">
        <f>IF(AND(Tabela1[[#This Row],[EA Play Season Pass]]="Yes",Tabela1[[#This Row],[Minecraft Season Pass]]="No"), "1", "0")*1</f>
        <v>0</v>
      </c>
    </row>
    <row r="261" spans="1:19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24">
        <f>IF(Tabela1[[#This Row],[EA Play Season Pass]]="Yes",1,0)</f>
        <v>1</v>
      </c>
      <c r="J261" s="11">
        <v>30</v>
      </c>
      <c r="K261" s="8" t="s">
        <v>19</v>
      </c>
      <c r="L261" s="24">
        <f>IF(Tabela1[[#This Row],[Minecraft Season Pass]]="Yes",1,0)</f>
        <v>1</v>
      </c>
      <c r="M261" s="11">
        <v>20</v>
      </c>
      <c r="N261" s="11">
        <v>15</v>
      </c>
      <c r="O261" s="11">
        <v>50</v>
      </c>
      <c r="P261" s="23">
        <f>IF(AND(Tabela1[[#This Row],[EA Play Season Pass]]="yes",Tabela1[[#This Row],[Minecraft Season Pass]]="Yes"), "1", "0")*1</f>
        <v>1</v>
      </c>
      <c r="Q261" s="23">
        <f>IF(AND(Tabela1[[#This Row],[EA Play Season Pass]]="No",Tabela1[[#This Row],[Minecraft Season Pass]]="No"), "1", "0")*1</f>
        <v>0</v>
      </c>
      <c r="R261" s="28">
        <f>IF(AND(Tabela1[[#This Row],[EA Play Season Pass]]="No",Tabela1[[#This Row],[Minecraft Season Pass]]="Yes"), "1", "0")*1</f>
        <v>0</v>
      </c>
      <c r="S261" s="28">
        <f>IF(AND(Tabela1[[#This Row],[EA Play Season Pass]]="Yes",Tabela1[[#This Row],[Minecraft Season Pass]]="No"), "1", "0")*1</f>
        <v>0</v>
      </c>
    </row>
    <row r="262" spans="1:19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24">
        <f>IF(Tabela1[[#This Row],[EA Play Season Pass]]="Yes",1,0)</f>
        <v>0</v>
      </c>
      <c r="J262" s="11" t="s">
        <v>311</v>
      </c>
      <c r="K262" s="8" t="s">
        <v>19</v>
      </c>
      <c r="L262" s="24">
        <f>IF(Tabela1[[#This Row],[Minecraft Season Pass]]="Yes",1,0)</f>
        <v>1</v>
      </c>
      <c r="M262" s="11">
        <v>20</v>
      </c>
      <c r="N262" s="11">
        <v>5</v>
      </c>
      <c r="O262" s="11">
        <v>25</v>
      </c>
      <c r="P262" s="23">
        <f>IF(AND(Tabela1[[#This Row],[EA Play Season Pass]]="yes",Tabela1[[#This Row],[Minecraft Season Pass]]="Yes"), "1", "0")*1</f>
        <v>0</v>
      </c>
      <c r="Q262" s="23">
        <f>IF(AND(Tabela1[[#This Row],[EA Play Season Pass]]="No",Tabela1[[#This Row],[Minecraft Season Pass]]="No"), "1", "0")*1</f>
        <v>0</v>
      </c>
      <c r="R262" s="28">
        <f>IF(AND(Tabela1[[#This Row],[EA Play Season Pass]]="No",Tabela1[[#This Row],[Minecraft Season Pass]]="Yes"), "1", "0")*1</f>
        <v>1</v>
      </c>
      <c r="S262" s="28">
        <f>IF(AND(Tabela1[[#This Row],[EA Play Season Pass]]="Yes",Tabela1[[#This Row],[Minecraft Season Pass]]="No"), "1", "0")*1</f>
        <v>0</v>
      </c>
    </row>
    <row r="263" spans="1:19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24">
        <f>IF(Tabela1[[#This Row],[EA Play Season Pass]]="Yes",1,0)</f>
        <v>0</v>
      </c>
      <c r="J263" s="11" t="s">
        <v>311</v>
      </c>
      <c r="K263" s="8" t="s">
        <v>23</v>
      </c>
      <c r="L263" s="24">
        <f>IF(Tabela1[[#This Row],[Minecraft Season Pass]]="Yes",1,0)</f>
        <v>0</v>
      </c>
      <c r="M263" s="11">
        <v>0</v>
      </c>
      <c r="N263" s="11">
        <v>0</v>
      </c>
      <c r="O263" s="11">
        <v>5</v>
      </c>
      <c r="P263" s="23">
        <f>IF(AND(Tabela1[[#This Row],[EA Play Season Pass]]="yes",Tabela1[[#This Row],[Minecraft Season Pass]]="Yes"), "1", "0")*1</f>
        <v>0</v>
      </c>
      <c r="Q263" s="23">
        <f>IF(AND(Tabela1[[#This Row],[EA Play Season Pass]]="No",Tabela1[[#This Row],[Minecraft Season Pass]]="No"), "1", "0")*1</f>
        <v>1</v>
      </c>
      <c r="R263" s="28">
        <f>IF(AND(Tabela1[[#This Row],[EA Play Season Pass]]="No",Tabela1[[#This Row],[Minecraft Season Pass]]="Yes"), "1", "0")*1</f>
        <v>0</v>
      </c>
      <c r="S263" s="28">
        <f>IF(AND(Tabela1[[#This Row],[EA Play Season Pass]]="Yes",Tabela1[[#This Row],[Minecraft Season Pass]]="No"), "1", "0")*1</f>
        <v>0</v>
      </c>
    </row>
    <row r="264" spans="1:19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24">
        <f>IF(Tabela1[[#This Row],[EA Play Season Pass]]="Yes",1,0)</f>
        <v>1</v>
      </c>
      <c r="J264" s="11">
        <v>30</v>
      </c>
      <c r="K264" s="8" t="s">
        <v>19</v>
      </c>
      <c r="L264" s="24">
        <f>IF(Tabela1[[#This Row],[Minecraft Season Pass]]="Yes",1,0)</f>
        <v>1</v>
      </c>
      <c r="M264" s="11">
        <v>20</v>
      </c>
      <c r="N264" s="11">
        <v>20</v>
      </c>
      <c r="O264" s="11">
        <v>45</v>
      </c>
      <c r="P264" s="23">
        <f>IF(AND(Tabela1[[#This Row],[EA Play Season Pass]]="yes",Tabela1[[#This Row],[Minecraft Season Pass]]="Yes"), "1", "0")*1</f>
        <v>1</v>
      </c>
      <c r="Q264" s="23">
        <f>IF(AND(Tabela1[[#This Row],[EA Play Season Pass]]="No",Tabela1[[#This Row],[Minecraft Season Pass]]="No"), "1", "0")*1</f>
        <v>0</v>
      </c>
      <c r="R264" s="28">
        <f>IF(AND(Tabela1[[#This Row],[EA Play Season Pass]]="No",Tabela1[[#This Row],[Minecraft Season Pass]]="Yes"), "1", "0")*1</f>
        <v>0</v>
      </c>
      <c r="S264" s="28">
        <f>IF(AND(Tabela1[[#This Row],[EA Play Season Pass]]="Yes",Tabela1[[#This Row],[Minecraft Season Pass]]="No"), "1", "0")*1</f>
        <v>0</v>
      </c>
    </row>
    <row r="265" spans="1:19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24">
        <f>IF(Tabela1[[#This Row],[EA Play Season Pass]]="Yes",1,0)</f>
        <v>0</v>
      </c>
      <c r="J265" s="11" t="s">
        <v>311</v>
      </c>
      <c r="K265" s="8" t="s">
        <v>19</v>
      </c>
      <c r="L265" s="24">
        <f>IF(Tabela1[[#This Row],[Minecraft Season Pass]]="Yes",1,0)</f>
        <v>1</v>
      </c>
      <c r="M265" s="11">
        <v>20</v>
      </c>
      <c r="N265" s="11">
        <v>12</v>
      </c>
      <c r="O265" s="11">
        <v>18</v>
      </c>
      <c r="P265" s="23">
        <f>IF(AND(Tabela1[[#This Row],[EA Play Season Pass]]="yes",Tabela1[[#This Row],[Minecraft Season Pass]]="Yes"), "1", "0")*1</f>
        <v>0</v>
      </c>
      <c r="Q265" s="23">
        <f>IF(AND(Tabela1[[#This Row],[EA Play Season Pass]]="No",Tabela1[[#This Row],[Minecraft Season Pass]]="No"), "1", "0")*1</f>
        <v>0</v>
      </c>
      <c r="R265" s="28">
        <f>IF(AND(Tabela1[[#This Row],[EA Play Season Pass]]="No",Tabela1[[#This Row],[Minecraft Season Pass]]="Yes"), "1", "0")*1</f>
        <v>1</v>
      </c>
      <c r="S265" s="28">
        <f>IF(AND(Tabela1[[#This Row],[EA Play Season Pass]]="Yes",Tabela1[[#This Row],[Minecraft Season Pass]]="No"), "1", "0")*1</f>
        <v>0</v>
      </c>
    </row>
    <row r="266" spans="1:19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24">
        <f>IF(Tabela1[[#This Row],[EA Play Season Pass]]="Yes",1,0)</f>
        <v>0</v>
      </c>
      <c r="J266" s="11" t="s">
        <v>311</v>
      </c>
      <c r="K266" s="8" t="s">
        <v>23</v>
      </c>
      <c r="L266" s="24">
        <f>IF(Tabela1[[#This Row],[Minecraft Season Pass]]="Yes",1,0)</f>
        <v>0</v>
      </c>
      <c r="M266" s="11">
        <v>0</v>
      </c>
      <c r="N266" s="11">
        <v>2</v>
      </c>
      <c r="O266" s="11">
        <v>3</v>
      </c>
      <c r="P266" s="23">
        <f>IF(AND(Tabela1[[#This Row],[EA Play Season Pass]]="yes",Tabela1[[#This Row],[Minecraft Season Pass]]="Yes"), "1", "0")*1</f>
        <v>0</v>
      </c>
      <c r="Q266" s="23">
        <f>IF(AND(Tabela1[[#This Row],[EA Play Season Pass]]="No",Tabela1[[#This Row],[Minecraft Season Pass]]="No"), "1", "0")*1</f>
        <v>1</v>
      </c>
      <c r="R266" s="28">
        <f>IF(AND(Tabela1[[#This Row],[EA Play Season Pass]]="No",Tabela1[[#This Row],[Minecraft Season Pass]]="Yes"), "1", "0")*1</f>
        <v>0</v>
      </c>
      <c r="S266" s="28">
        <f>IF(AND(Tabela1[[#This Row],[EA Play Season Pass]]="Yes",Tabela1[[#This Row],[Minecraft Season Pass]]="No"), "1", "0")*1</f>
        <v>0</v>
      </c>
    </row>
    <row r="267" spans="1:19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24">
        <f>IF(Tabela1[[#This Row],[EA Play Season Pass]]="Yes",1,0)</f>
        <v>1</v>
      </c>
      <c r="J267" s="11">
        <v>30</v>
      </c>
      <c r="K267" s="8" t="s">
        <v>19</v>
      </c>
      <c r="L267" s="24">
        <f>IF(Tabela1[[#This Row],[Minecraft Season Pass]]="Yes",1,0)</f>
        <v>1</v>
      </c>
      <c r="M267" s="11">
        <v>20</v>
      </c>
      <c r="N267" s="11">
        <v>5</v>
      </c>
      <c r="O267" s="11">
        <v>60</v>
      </c>
      <c r="P267" s="23">
        <f>IF(AND(Tabela1[[#This Row],[EA Play Season Pass]]="yes",Tabela1[[#This Row],[Minecraft Season Pass]]="Yes"), "1", "0")*1</f>
        <v>1</v>
      </c>
      <c r="Q267" s="23">
        <f>IF(AND(Tabela1[[#This Row],[EA Play Season Pass]]="No",Tabela1[[#This Row],[Minecraft Season Pass]]="No"), "1", "0")*1</f>
        <v>0</v>
      </c>
      <c r="R267" s="28">
        <f>IF(AND(Tabela1[[#This Row],[EA Play Season Pass]]="No",Tabela1[[#This Row],[Minecraft Season Pass]]="Yes"), "1", "0")*1</f>
        <v>0</v>
      </c>
      <c r="S267" s="28">
        <f>IF(AND(Tabela1[[#This Row],[EA Play Season Pass]]="Yes",Tabela1[[#This Row],[Minecraft Season Pass]]="No"), "1", "0")*1</f>
        <v>0</v>
      </c>
    </row>
    <row r="268" spans="1:19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24">
        <f>IF(Tabela1[[#This Row],[EA Play Season Pass]]="Yes",1,0)</f>
        <v>0</v>
      </c>
      <c r="J268" s="11" t="s">
        <v>311</v>
      </c>
      <c r="K268" s="8" t="s">
        <v>19</v>
      </c>
      <c r="L268" s="24">
        <f>IF(Tabela1[[#This Row],[Minecraft Season Pass]]="Yes",1,0)</f>
        <v>1</v>
      </c>
      <c r="M268" s="11">
        <v>20</v>
      </c>
      <c r="N268" s="11">
        <v>10</v>
      </c>
      <c r="O268" s="11">
        <v>20</v>
      </c>
      <c r="P268" s="23">
        <f>IF(AND(Tabela1[[#This Row],[EA Play Season Pass]]="yes",Tabela1[[#This Row],[Minecraft Season Pass]]="Yes"), "1", "0")*1</f>
        <v>0</v>
      </c>
      <c r="Q268" s="23">
        <f>IF(AND(Tabela1[[#This Row],[EA Play Season Pass]]="No",Tabela1[[#This Row],[Minecraft Season Pass]]="No"), "1", "0")*1</f>
        <v>0</v>
      </c>
      <c r="R268" s="28">
        <f>IF(AND(Tabela1[[#This Row],[EA Play Season Pass]]="No",Tabela1[[#This Row],[Minecraft Season Pass]]="Yes"), "1", "0")*1</f>
        <v>1</v>
      </c>
      <c r="S268" s="28">
        <f>IF(AND(Tabela1[[#This Row],[EA Play Season Pass]]="Yes",Tabela1[[#This Row],[Minecraft Season Pass]]="No"), "1", "0")*1</f>
        <v>0</v>
      </c>
    </row>
    <row r="269" spans="1:19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24">
        <f>IF(Tabela1[[#This Row],[EA Play Season Pass]]="Yes",1,0)</f>
        <v>0</v>
      </c>
      <c r="J269" s="11" t="s">
        <v>311</v>
      </c>
      <c r="K269" s="8" t="s">
        <v>23</v>
      </c>
      <c r="L269" s="24">
        <f>IF(Tabela1[[#This Row],[Minecraft Season Pass]]="Yes",1,0)</f>
        <v>0</v>
      </c>
      <c r="M269" s="11">
        <v>0</v>
      </c>
      <c r="N269" s="11">
        <v>0</v>
      </c>
      <c r="O269" s="11">
        <v>5</v>
      </c>
      <c r="P269" s="23">
        <f>IF(AND(Tabela1[[#This Row],[EA Play Season Pass]]="yes",Tabela1[[#This Row],[Minecraft Season Pass]]="Yes"), "1", "0")*1</f>
        <v>0</v>
      </c>
      <c r="Q269" s="23">
        <f>IF(AND(Tabela1[[#This Row],[EA Play Season Pass]]="No",Tabela1[[#This Row],[Minecraft Season Pass]]="No"), "1", "0")*1</f>
        <v>1</v>
      </c>
      <c r="R269" s="28">
        <f>IF(AND(Tabela1[[#This Row],[EA Play Season Pass]]="No",Tabela1[[#This Row],[Minecraft Season Pass]]="Yes"), "1", "0")*1</f>
        <v>0</v>
      </c>
      <c r="S269" s="28">
        <f>IF(AND(Tabela1[[#This Row],[EA Play Season Pass]]="Yes",Tabela1[[#This Row],[Minecraft Season Pass]]="No"), "1", "0")*1</f>
        <v>0</v>
      </c>
    </row>
    <row r="270" spans="1:19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24">
        <f>IF(Tabela1[[#This Row],[EA Play Season Pass]]="Yes",1,0)</f>
        <v>1</v>
      </c>
      <c r="J270" s="11">
        <v>30</v>
      </c>
      <c r="K270" s="8" t="s">
        <v>19</v>
      </c>
      <c r="L270" s="24">
        <f>IF(Tabela1[[#This Row],[Minecraft Season Pass]]="Yes",1,0)</f>
        <v>1</v>
      </c>
      <c r="M270" s="11">
        <v>20</v>
      </c>
      <c r="N270" s="11">
        <v>3</v>
      </c>
      <c r="O270" s="11">
        <v>62</v>
      </c>
      <c r="P270" s="23">
        <f>IF(AND(Tabela1[[#This Row],[EA Play Season Pass]]="yes",Tabela1[[#This Row],[Minecraft Season Pass]]="Yes"), "1", "0")*1</f>
        <v>1</v>
      </c>
      <c r="Q270" s="23">
        <f>IF(AND(Tabela1[[#This Row],[EA Play Season Pass]]="No",Tabela1[[#This Row],[Minecraft Season Pass]]="No"), "1", "0")*1</f>
        <v>0</v>
      </c>
      <c r="R270" s="28">
        <f>IF(AND(Tabela1[[#This Row],[EA Play Season Pass]]="No",Tabela1[[#This Row],[Minecraft Season Pass]]="Yes"), "1", "0")*1</f>
        <v>0</v>
      </c>
      <c r="S270" s="28">
        <f>IF(AND(Tabela1[[#This Row],[EA Play Season Pass]]="Yes",Tabela1[[#This Row],[Minecraft Season Pass]]="No"), "1", "0")*1</f>
        <v>0</v>
      </c>
    </row>
    <row r="271" spans="1:19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24">
        <f>IF(Tabela1[[#This Row],[EA Play Season Pass]]="Yes",1,0)</f>
        <v>0</v>
      </c>
      <c r="J271" s="11" t="s">
        <v>311</v>
      </c>
      <c r="K271" s="8" t="s">
        <v>19</v>
      </c>
      <c r="L271" s="24">
        <f>IF(Tabela1[[#This Row],[Minecraft Season Pass]]="Yes",1,0)</f>
        <v>1</v>
      </c>
      <c r="M271" s="11">
        <v>20</v>
      </c>
      <c r="N271" s="11">
        <v>15</v>
      </c>
      <c r="O271" s="11">
        <v>15</v>
      </c>
      <c r="P271" s="23">
        <f>IF(AND(Tabela1[[#This Row],[EA Play Season Pass]]="yes",Tabela1[[#This Row],[Minecraft Season Pass]]="Yes"), "1", "0")*1</f>
        <v>0</v>
      </c>
      <c r="Q271" s="23">
        <f>IF(AND(Tabela1[[#This Row],[EA Play Season Pass]]="No",Tabela1[[#This Row],[Minecraft Season Pass]]="No"), "1", "0")*1</f>
        <v>0</v>
      </c>
      <c r="R271" s="28">
        <f>IF(AND(Tabela1[[#This Row],[EA Play Season Pass]]="No",Tabela1[[#This Row],[Minecraft Season Pass]]="Yes"), "1", "0")*1</f>
        <v>1</v>
      </c>
      <c r="S271" s="28">
        <f>IF(AND(Tabela1[[#This Row],[EA Play Season Pass]]="Yes",Tabela1[[#This Row],[Minecraft Season Pass]]="No"), "1", "0")*1</f>
        <v>0</v>
      </c>
    </row>
    <row r="272" spans="1:19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24">
        <f>IF(Tabela1[[#This Row],[EA Play Season Pass]]="Yes",1,0)</f>
        <v>0</v>
      </c>
      <c r="J272" s="11" t="s">
        <v>311</v>
      </c>
      <c r="K272" s="8" t="s">
        <v>23</v>
      </c>
      <c r="L272" s="24">
        <f>IF(Tabela1[[#This Row],[Minecraft Season Pass]]="Yes",1,0)</f>
        <v>0</v>
      </c>
      <c r="M272" s="11">
        <v>0</v>
      </c>
      <c r="N272" s="11">
        <v>1</v>
      </c>
      <c r="O272" s="11">
        <v>4</v>
      </c>
      <c r="P272" s="23">
        <f>IF(AND(Tabela1[[#This Row],[EA Play Season Pass]]="yes",Tabela1[[#This Row],[Minecraft Season Pass]]="Yes"), "1", "0")*1</f>
        <v>0</v>
      </c>
      <c r="Q272" s="23">
        <f>IF(AND(Tabela1[[#This Row],[EA Play Season Pass]]="No",Tabela1[[#This Row],[Minecraft Season Pass]]="No"), "1", "0")*1</f>
        <v>1</v>
      </c>
      <c r="R272" s="28">
        <f>IF(AND(Tabela1[[#This Row],[EA Play Season Pass]]="No",Tabela1[[#This Row],[Minecraft Season Pass]]="Yes"), "1", "0")*1</f>
        <v>0</v>
      </c>
      <c r="S272" s="28">
        <f>IF(AND(Tabela1[[#This Row],[EA Play Season Pass]]="Yes",Tabela1[[#This Row],[Minecraft Season Pass]]="No"), "1", "0")*1</f>
        <v>0</v>
      </c>
    </row>
    <row r="273" spans="1:19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24">
        <f>IF(Tabela1[[#This Row],[EA Play Season Pass]]="Yes",1,0)</f>
        <v>1</v>
      </c>
      <c r="J273" s="11">
        <v>30</v>
      </c>
      <c r="K273" s="8" t="s">
        <v>19</v>
      </c>
      <c r="L273" s="24">
        <f>IF(Tabela1[[#This Row],[Minecraft Season Pass]]="Yes",1,0)</f>
        <v>1</v>
      </c>
      <c r="M273" s="11">
        <v>20</v>
      </c>
      <c r="N273" s="11">
        <v>7</v>
      </c>
      <c r="O273" s="11">
        <v>58</v>
      </c>
      <c r="P273" s="23">
        <f>IF(AND(Tabela1[[#This Row],[EA Play Season Pass]]="yes",Tabela1[[#This Row],[Minecraft Season Pass]]="Yes"), "1", "0")*1</f>
        <v>1</v>
      </c>
      <c r="Q273" s="23">
        <f>IF(AND(Tabela1[[#This Row],[EA Play Season Pass]]="No",Tabela1[[#This Row],[Minecraft Season Pass]]="No"), "1", "0")*1</f>
        <v>0</v>
      </c>
      <c r="R273" s="28">
        <f>IF(AND(Tabela1[[#This Row],[EA Play Season Pass]]="No",Tabela1[[#This Row],[Minecraft Season Pass]]="Yes"), "1", "0")*1</f>
        <v>0</v>
      </c>
      <c r="S273" s="28">
        <f>IF(AND(Tabela1[[#This Row],[EA Play Season Pass]]="Yes",Tabela1[[#This Row],[Minecraft Season Pass]]="No"), "1", "0")*1</f>
        <v>0</v>
      </c>
    </row>
    <row r="274" spans="1:19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24">
        <f>IF(Tabela1[[#This Row],[EA Play Season Pass]]="Yes",1,0)</f>
        <v>0</v>
      </c>
      <c r="J274" s="11" t="s">
        <v>311</v>
      </c>
      <c r="K274" s="8" t="s">
        <v>19</v>
      </c>
      <c r="L274" s="24">
        <f>IF(Tabela1[[#This Row],[Minecraft Season Pass]]="Yes",1,0)</f>
        <v>1</v>
      </c>
      <c r="M274" s="11">
        <v>20</v>
      </c>
      <c r="N274" s="11">
        <v>10</v>
      </c>
      <c r="O274" s="11">
        <v>20</v>
      </c>
      <c r="P274" s="23">
        <f>IF(AND(Tabela1[[#This Row],[EA Play Season Pass]]="yes",Tabela1[[#This Row],[Minecraft Season Pass]]="Yes"), "1", "0")*1</f>
        <v>0</v>
      </c>
      <c r="Q274" s="23">
        <f>IF(AND(Tabela1[[#This Row],[EA Play Season Pass]]="No",Tabela1[[#This Row],[Minecraft Season Pass]]="No"), "1", "0")*1</f>
        <v>0</v>
      </c>
      <c r="R274" s="28">
        <f>IF(AND(Tabela1[[#This Row],[EA Play Season Pass]]="No",Tabela1[[#This Row],[Minecraft Season Pass]]="Yes"), "1", "0")*1</f>
        <v>1</v>
      </c>
      <c r="S274" s="28">
        <f>IF(AND(Tabela1[[#This Row],[EA Play Season Pass]]="Yes",Tabela1[[#This Row],[Minecraft Season Pass]]="No"), "1", "0")*1</f>
        <v>0</v>
      </c>
    </row>
    <row r="275" spans="1:19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24">
        <f>IF(Tabela1[[#This Row],[EA Play Season Pass]]="Yes",1,0)</f>
        <v>0</v>
      </c>
      <c r="J275" s="11" t="s">
        <v>311</v>
      </c>
      <c r="K275" s="8" t="s">
        <v>23</v>
      </c>
      <c r="L275" s="24">
        <f>IF(Tabela1[[#This Row],[Minecraft Season Pass]]="Yes",1,0)</f>
        <v>0</v>
      </c>
      <c r="M275" s="11">
        <v>0</v>
      </c>
      <c r="N275" s="11">
        <v>0</v>
      </c>
      <c r="O275" s="11">
        <v>5</v>
      </c>
      <c r="P275" s="23">
        <f>IF(AND(Tabela1[[#This Row],[EA Play Season Pass]]="yes",Tabela1[[#This Row],[Minecraft Season Pass]]="Yes"), "1", "0")*1</f>
        <v>0</v>
      </c>
      <c r="Q275" s="23">
        <f>IF(AND(Tabela1[[#This Row],[EA Play Season Pass]]="No",Tabela1[[#This Row],[Minecraft Season Pass]]="No"), "1", "0")*1</f>
        <v>1</v>
      </c>
      <c r="R275" s="28">
        <f>IF(AND(Tabela1[[#This Row],[EA Play Season Pass]]="No",Tabela1[[#This Row],[Minecraft Season Pass]]="Yes"), "1", "0")*1</f>
        <v>0</v>
      </c>
      <c r="S275" s="28">
        <f>IF(AND(Tabela1[[#This Row],[EA Play Season Pass]]="Yes",Tabela1[[#This Row],[Minecraft Season Pass]]="No"), "1", "0")*1</f>
        <v>0</v>
      </c>
    </row>
    <row r="276" spans="1:19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24">
        <f>IF(Tabela1[[#This Row],[EA Play Season Pass]]="Yes",1,0)</f>
        <v>1</v>
      </c>
      <c r="J276" s="11">
        <v>30</v>
      </c>
      <c r="K276" s="8" t="s">
        <v>19</v>
      </c>
      <c r="L276" s="24">
        <f>IF(Tabela1[[#This Row],[Minecraft Season Pass]]="Yes",1,0)</f>
        <v>1</v>
      </c>
      <c r="M276" s="11">
        <v>20</v>
      </c>
      <c r="N276" s="11">
        <v>20</v>
      </c>
      <c r="O276" s="11">
        <v>45</v>
      </c>
      <c r="P276" s="23">
        <f>IF(AND(Tabela1[[#This Row],[EA Play Season Pass]]="yes",Tabela1[[#This Row],[Minecraft Season Pass]]="Yes"), "1", "0")*1</f>
        <v>1</v>
      </c>
      <c r="Q276" s="23">
        <f>IF(AND(Tabela1[[#This Row],[EA Play Season Pass]]="No",Tabela1[[#This Row],[Minecraft Season Pass]]="No"), "1", "0")*1</f>
        <v>0</v>
      </c>
      <c r="R276" s="28">
        <f>IF(AND(Tabela1[[#This Row],[EA Play Season Pass]]="No",Tabela1[[#This Row],[Minecraft Season Pass]]="Yes"), "1", "0")*1</f>
        <v>0</v>
      </c>
      <c r="S276" s="28">
        <f>IF(AND(Tabela1[[#This Row],[EA Play Season Pass]]="Yes",Tabela1[[#This Row],[Minecraft Season Pass]]="No"), "1", "0")*1</f>
        <v>0</v>
      </c>
    </row>
    <row r="277" spans="1:19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24">
        <f>IF(Tabela1[[#This Row],[EA Play Season Pass]]="Yes",1,0)</f>
        <v>0</v>
      </c>
      <c r="J277" s="11" t="s">
        <v>311</v>
      </c>
      <c r="K277" s="8" t="s">
        <v>19</v>
      </c>
      <c r="L277" s="24">
        <f>IF(Tabela1[[#This Row],[Minecraft Season Pass]]="Yes",1,0)</f>
        <v>1</v>
      </c>
      <c r="M277" s="11">
        <v>20</v>
      </c>
      <c r="N277" s="11">
        <v>15</v>
      </c>
      <c r="O277" s="11">
        <v>15</v>
      </c>
      <c r="P277" s="23">
        <f>IF(AND(Tabela1[[#This Row],[EA Play Season Pass]]="yes",Tabela1[[#This Row],[Minecraft Season Pass]]="Yes"), "1", "0")*1</f>
        <v>0</v>
      </c>
      <c r="Q277" s="23">
        <f>IF(AND(Tabela1[[#This Row],[EA Play Season Pass]]="No",Tabela1[[#This Row],[Minecraft Season Pass]]="No"), "1", "0")*1</f>
        <v>0</v>
      </c>
      <c r="R277" s="28">
        <f>IF(AND(Tabela1[[#This Row],[EA Play Season Pass]]="No",Tabela1[[#This Row],[Minecraft Season Pass]]="Yes"), "1", "0")*1</f>
        <v>1</v>
      </c>
      <c r="S277" s="28">
        <f>IF(AND(Tabela1[[#This Row],[EA Play Season Pass]]="Yes",Tabela1[[#This Row],[Minecraft Season Pass]]="No"), "1", "0")*1</f>
        <v>0</v>
      </c>
    </row>
    <row r="278" spans="1:19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24">
        <f>IF(Tabela1[[#This Row],[EA Play Season Pass]]="Yes",1,0)</f>
        <v>0</v>
      </c>
      <c r="J278" s="11" t="s">
        <v>311</v>
      </c>
      <c r="K278" s="8" t="s">
        <v>23</v>
      </c>
      <c r="L278" s="24">
        <f>IF(Tabela1[[#This Row],[Minecraft Season Pass]]="Yes",1,0)</f>
        <v>0</v>
      </c>
      <c r="M278" s="11">
        <v>0</v>
      </c>
      <c r="N278" s="11">
        <v>1</v>
      </c>
      <c r="O278" s="11">
        <v>4</v>
      </c>
      <c r="P278" s="23">
        <f>IF(AND(Tabela1[[#This Row],[EA Play Season Pass]]="yes",Tabela1[[#This Row],[Minecraft Season Pass]]="Yes"), "1", "0")*1</f>
        <v>0</v>
      </c>
      <c r="Q278" s="23">
        <f>IF(AND(Tabela1[[#This Row],[EA Play Season Pass]]="No",Tabela1[[#This Row],[Minecraft Season Pass]]="No"), "1", "0")*1</f>
        <v>1</v>
      </c>
      <c r="R278" s="28">
        <f>IF(AND(Tabela1[[#This Row],[EA Play Season Pass]]="No",Tabela1[[#This Row],[Minecraft Season Pass]]="Yes"), "1", "0")*1</f>
        <v>0</v>
      </c>
      <c r="S278" s="28">
        <f>IF(AND(Tabela1[[#This Row],[EA Play Season Pass]]="Yes",Tabela1[[#This Row],[Minecraft Season Pass]]="No"), "1", "0")*1</f>
        <v>0</v>
      </c>
    </row>
    <row r="279" spans="1:19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24">
        <f>IF(Tabela1[[#This Row],[EA Play Season Pass]]="Yes",1,0)</f>
        <v>1</v>
      </c>
      <c r="J279" s="11">
        <v>30</v>
      </c>
      <c r="K279" s="8" t="s">
        <v>19</v>
      </c>
      <c r="L279" s="24">
        <f>IF(Tabela1[[#This Row],[Minecraft Season Pass]]="Yes",1,0)</f>
        <v>1</v>
      </c>
      <c r="M279" s="11">
        <v>20</v>
      </c>
      <c r="N279" s="11">
        <v>3</v>
      </c>
      <c r="O279" s="11">
        <v>62</v>
      </c>
      <c r="P279" s="23">
        <f>IF(AND(Tabela1[[#This Row],[EA Play Season Pass]]="yes",Tabela1[[#This Row],[Minecraft Season Pass]]="Yes"), "1", "0")*1</f>
        <v>1</v>
      </c>
      <c r="Q279" s="23">
        <f>IF(AND(Tabela1[[#This Row],[EA Play Season Pass]]="No",Tabela1[[#This Row],[Minecraft Season Pass]]="No"), "1", "0")*1</f>
        <v>0</v>
      </c>
      <c r="R279" s="28">
        <f>IF(AND(Tabela1[[#This Row],[EA Play Season Pass]]="No",Tabela1[[#This Row],[Minecraft Season Pass]]="Yes"), "1", "0")*1</f>
        <v>0</v>
      </c>
      <c r="S279" s="28">
        <f>IF(AND(Tabela1[[#This Row],[EA Play Season Pass]]="Yes",Tabela1[[#This Row],[Minecraft Season Pass]]="No"), "1", "0")*1</f>
        <v>0</v>
      </c>
    </row>
    <row r="280" spans="1:19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24">
        <f>IF(Tabela1[[#This Row],[EA Play Season Pass]]="Yes",1,0)</f>
        <v>0</v>
      </c>
      <c r="J280" s="11" t="s">
        <v>311</v>
      </c>
      <c r="K280" s="8" t="s">
        <v>19</v>
      </c>
      <c r="L280" s="24">
        <f>IF(Tabela1[[#This Row],[Minecraft Season Pass]]="Yes",1,0)</f>
        <v>1</v>
      </c>
      <c r="M280" s="11">
        <v>20</v>
      </c>
      <c r="N280" s="11">
        <v>10</v>
      </c>
      <c r="O280" s="11">
        <v>20</v>
      </c>
      <c r="P280" s="23">
        <f>IF(AND(Tabela1[[#This Row],[EA Play Season Pass]]="yes",Tabela1[[#This Row],[Minecraft Season Pass]]="Yes"), "1", "0")*1</f>
        <v>0</v>
      </c>
      <c r="Q280" s="23">
        <f>IF(AND(Tabela1[[#This Row],[EA Play Season Pass]]="No",Tabela1[[#This Row],[Minecraft Season Pass]]="No"), "1", "0")*1</f>
        <v>0</v>
      </c>
      <c r="R280" s="28">
        <f>IF(AND(Tabela1[[#This Row],[EA Play Season Pass]]="No",Tabela1[[#This Row],[Minecraft Season Pass]]="Yes"), "1", "0")*1</f>
        <v>1</v>
      </c>
      <c r="S280" s="28">
        <f>IF(AND(Tabela1[[#This Row],[EA Play Season Pass]]="Yes",Tabela1[[#This Row],[Minecraft Season Pass]]="No"), "1", "0")*1</f>
        <v>0</v>
      </c>
    </row>
    <row r="281" spans="1:19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24">
        <f>IF(Tabela1[[#This Row],[EA Play Season Pass]]="Yes",1,0)</f>
        <v>0</v>
      </c>
      <c r="J281" s="11" t="s">
        <v>311</v>
      </c>
      <c r="K281" s="8" t="s">
        <v>23</v>
      </c>
      <c r="L281" s="24">
        <f>IF(Tabela1[[#This Row],[Minecraft Season Pass]]="Yes",1,0)</f>
        <v>0</v>
      </c>
      <c r="M281" s="11">
        <v>0</v>
      </c>
      <c r="N281" s="11">
        <v>0</v>
      </c>
      <c r="O281" s="11">
        <v>5</v>
      </c>
      <c r="P281" s="23">
        <f>IF(AND(Tabela1[[#This Row],[EA Play Season Pass]]="yes",Tabela1[[#This Row],[Minecraft Season Pass]]="Yes"), "1", "0")*1</f>
        <v>0</v>
      </c>
      <c r="Q281" s="23">
        <f>IF(AND(Tabela1[[#This Row],[EA Play Season Pass]]="No",Tabela1[[#This Row],[Minecraft Season Pass]]="No"), "1", "0")*1</f>
        <v>1</v>
      </c>
      <c r="R281" s="28">
        <f>IF(AND(Tabela1[[#This Row],[EA Play Season Pass]]="No",Tabela1[[#This Row],[Minecraft Season Pass]]="Yes"), "1", "0")*1</f>
        <v>0</v>
      </c>
      <c r="S281" s="28">
        <f>IF(AND(Tabela1[[#This Row],[EA Play Season Pass]]="Yes",Tabela1[[#This Row],[Minecraft Season Pass]]="No"), "1", "0")*1</f>
        <v>0</v>
      </c>
    </row>
    <row r="282" spans="1:19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24">
        <f>IF(Tabela1[[#This Row],[EA Play Season Pass]]="Yes",1,0)</f>
        <v>1</v>
      </c>
      <c r="J282" s="11">
        <v>30</v>
      </c>
      <c r="K282" s="8" t="s">
        <v>19</v>
      </c>
      <c r="L282" s="24">
        <f>IF(Tabela1[[#This Row],[Minecraft Season Pass]]="Yes",1,0)</f>
        <v>1</v>
      </c>
      <c r="M282" s="11">
        <v>20</v>
      </c>
      <c r="N282" s="11">
        <v>15</v>
      </c>
      <c r="O282" s="11">
        <v>50</v>
      </c>
      <c r="P282" s="23">
        <f>IF(AND(Tabela1[[#This Row],[EA Play Season Pass]]="yes",Tabela1[[#This Row],[Minecraft Season Pass]]="Yes"), "1", "0")*1</f>
        <v>1</v>
      </c>
      <c r="Q282" s="23">
        <f>IF(AND(Tabela1[[#This Row],[EA Play Season Pass]]="No",Tabela1[[#This Row],[Minecraft Season Pass]]="No"), "1", "0")*1</f>
        <v>0</v>
      </c>
      <c r="R282" s="28">
        <f>IF(AND(Tabela1[[#This Row],[EA Play Season Pass]]="No",Tabela1[[#This Row],[Minecraft Season Pass]]="Yes"), "1", "0")*1</f>
        <v>0</v>
      </c>
      <c r="S282" s="28">
        <f>IF(AND(Tabela1[[#This Row],[EA Play Season Pass]]="Yes",Tabela1[[#This Row],[Minecraft Season Pass]]="No"), "1", "0")*1</f>
        <v>0</v>
      </c>
    </row>
    <row r="283" spans="1:19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24">
        <f>IF(Tabela1[[#This Row],[EA Play Season Pass]]="Yes",1,0)</f>
        <v>0</v>
      </c>
      <c r="J283" s="11" t="s">
        <v>311</v>
      </c>
      <c r="K283" s="8" t="s">
        <v>19</v>
      </c>
      <c r="L283" s="24">
        <f>IF(Tabela1[[#This Row],[Minecraft Season Pass]]="Yes",1,0)</f>
        <v>1</v>
      </c>
      <c r="M283" s="11">
        <v>20</v>
      </c>
      <c r="N283" s="11">
        <v>15</v>
      </c>
      <c r="O283" s="11">
        <v>15</v>
      </c>
      <c r="P283" s="23">
        <f>IF(AND(Tabela1[[#This Row],[EA Play Season Pass]]="yes",Tabela1[[#This Row],[Minecraft Season Pass]]="Yes"), "1", "0")*1</f>
        <v>0</v>
      </c>
      <c r="Q283" s="23">
        <f>IF(AND(Tabela1[[#This Row],[EA Play Season Pass]]="No",Tabela1[[#This Row],[Minecraft Season Pass]]="No"), "1", "0")*1</f>
        <v>0</v>
      </c>
      <c r="R283" s="28">
        <f>IF(AND(Tabela1[[#This Row],[EA Play Season Pass]]="No",Tabela1[[#This Row],[Minecraft Season Pass]]="Yes"), "1", "0")*1</f>
        <v>1</v>
      </c>
      <c r="S283" s="28">
        <f>IF(AND(Tabela1[[#This Row],[EA Play Season Pass]]="Yes",Tabela1[[#This Row],[Minecraft Season Pass]]="No"), "1", "0")*1</f>
        <v>0</v>
      </c>
    </row>
    <row r="284" spans="1:19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24">
        <f>IF(Tabela1[[#This Row],[EA Play Season Pass]]="Yes",1,0)</f>
        <v>0</v>
      </c>
      <c r="J284" s="11" t="s">
        <v>311</v>
      </c>
      <c r="K284" s="8" t="s">
        <v>23</v>
      </c>
      <c r="L284" s="24">
        <f>IF(Tabela1[[#This Row],[Minecraft Season Pass]]="Yes",1,0)</f>
        <v>0</v>
      </c>
      <c r="M284" s="11">
        <v>0</v>
      </c>
      <c r="N284" s="11">
        <v>1</v>
      </c>
      <c r="O284" s="11">
        <v>4</v>
      </c>
      <c r="P284" s="23">
        <f>IF(AND(Tabela1[[#This Row],[EA Play Season Pass]]="yes",Tabela1[[#This Row],[Minecraft Season Pass]]="Yes"), "1", "0")*1</f>
        <v>0</v>
      </c>
      <c r="Q284" s="23">
        <f>IF(AND(Tabela1[[#This Row],[EA Play Season Pass]]="No",Tabela1[[#This Row],[Minecraft Season Pass]]="No"), "1", "0")*1</f>
        <v>1</v>
      </c>
      <c r="R284" s="28">
        <f>IF(AND(Tabela1[[#This Row],[EA Play Season Pass]]="No",Tabela1[[#This Row],[Minecraft Season Pass]]="Yes"), "1", "0")*1</f>
        <v>0</v>
      </c>
      <c r="S284" s="28">
        <f>IF(AND(Tabela1[[#This Row],[EA Play Season Pass]]="Yes",Tabela1[[#This Row],[Minecraft Season Pass]]="No"), "1", "0")*1</f>
        <v>0</v>
      </c>
    </row>
    <row r="285" spans="1:19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24">
        <f>IF(Tabela1[[#This Row],[EA Play Season Pass]]="Yes",1,0)</f>
        <v>1</v>
      </c>
      <c r="J285" s="11">
        <v>30</v>
      </c>
      <c r="K285" s="8" t="s">
        <v>19</v>
      </c>
      <c r="L285" s="24">
        <f>IF(Tabela1[[#This Row],[Minecraft Season Pass]]="Yes",1,0)</f>
        <v>1</v>
      </c>
      <c r="M285" s="11">
        <v>20</v>
      </c>
      <c r="N285" s="11">
        <v>7</v>
      </c>
      <c r="O285" s="11">
        <v>58</v>
      </c>
      <c r="P285" s="23">
        <f>IF(AND(Tabela1[[#This Row],[EA Play Season Pass]]="yes",Tabela1[[#This Row],[Minecraft Season Pass]]="Yes"), "1", "0")*1</f>
        <v>1</v>
      </c>
      <c r="Q285" s="23">
        <f>IF(AND(Tabela1[[#This Row],[EA Play Season Pass]]="No",Tabela1[[#This Row],[Minecraft Season Pass]]="No"), "1", "0")*1</f>
        <v>0</v>
      </c>
      <c r="R285" s="28">
        <f>IF(AND(Tabela1[[#This Row],[EA Play Season Pass]]="No",Tabela1[[#This Row],[Minecraft Season Pass]]="Yes"), "1", "0")*1</f>
        <v>0</v>
      </c>
      <c r="S285" s="28">
        <f>IF(AND(Tabela1[[#This Row],[EA Play Season Pass]]="Yes",Tabela1[[#This Row],[Minecraft Season Pass]]="No"), "1", "0")*1</f>
        <v>0</v>
      </c>
    </row>
    <row r="286" spans="1:19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24">
        <f>IF(Tabela1[[#This Row],[EA Play Season Pass]]="Yes",1,0)</f>
        <v>0</v>
      </c>
      <c r="J286" s="11" t="s">
        <v>311</v>
      </c>
      <c r="K286" s="8" t="s">
        <v>19</v>
      </c>
      <c r="L286" s="24">
        <f>IF(Tabela1[[#This Row],[Minecraft Season Pass]]="Yes",1,0)</f>
        <v>1</v>
      </c>
      <c r="M286" s="11">
        <v>20</v>
      </c>
      <c r="N286" s="11">
        <v>10</v>
      </c>
      <c r="O286" s="11">
        <v>20</v>
      </c>
      <c r="P286" s="23">
        <f>IF(AND(Tabela1[[#This Row],[EA Play Season Pass]]="yes",Tabela1[[#This Row],[Minecraft Season Pass]]="Yes"), "1", "0")*1</f>
        <v>0</v>
      </c>
      <c r="Q286" s="23">
        <f>IF(AND(Tabela1[[#This Row],[EA Play Season Pass]]="No",Tabela1[[#This Row],[Minecraft Season Pass]]="No"), "1", "0")*1</f>
        <v>0</v>
      </c>
      <c r="R286" s="28">
        <f>IF(AND(Tabela1[[#This Row],[EA Play Season Pass]]="No",Tabela1[[#This Row],[Minecraft Season Pass]]="Yes"), "1", "0")*1</f>
        <v>1</v>
      </c>
      <c r="S286" s="28">
        <f>IF(AND(Tabela1[[#This Row],[EA Play Season Pass]]="Yes",Tabela1[[#This Row],[Minecraft Season Pass]]="No"), "1", "0")*1</f>
        <v>0</v>
      </c>
    </row>
    <row r="287" spans="1:19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24">
        <f>IF(Tabela1[[#This Row],[EA Play Season Pass]]="Yes",1,0)</f>
        <v>0</v>
      </c>
      <c r="J287" s="11" t="s">
        <v>311</v>
      </c>
      <c r="K287" s="8" t="s">
        <v>23</v>
      </c>
      <c r="L287" s="24">
        <f>IF(Tabela1[[#This Row],[Minecraft Season Pass]]="Yes",1,0)</f>
        <v>0</v>
      </c>
      <c r="M287" s="11">
        <v>0</v>
      </c>
      <c r="N287" s="11">
        <v>0</v>
      </c>
      <c r="O287" s="11">
        <v>5</v>
      </c>
      <c r="P287" s="23">
        <f>IF(AND(Tabela1[[#This Row],[EA Play Season Pass]]="yes",Tabela1[[#This Row],[Minecraft Season Pass]]="Yes"), "1", "0")*1</f>
        <v>0</v>
      </c>
      <c r="Q287" s="23">
        <f>IF(AND(Tabela1[[#This Row],[EA Play Season Pass]]="No",Tabela1[[#This Row],[Minecraft Season Pass]]="No"), "1", "0")*1</f>
        <v>1</v>
      </c>
      <c r="R287" s="28">
        <f>IF(AND(Tabela1[[#This Row],[EA Play Season Pass]]="No",Tabela1[[#This Row],[Minecraft Season Pass]]="Yes"), "1", "0")*1</f>
        <v>0</v>
      </c>
      <c r="S287" s="28">
        <f>IF(AND(Tabela1[[#This Row],[EA Play Season Pass]]="Yes",Tabela1[[#This Row],[Minecraft Season Pass]]="No"), "1", "0")*1</f>
        <v>0</v>
      </c>
    </row>
    <row r="288" spans="1:19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24">
        <f>IF(Tabela1[[#This Row],[EA Play Season Pass]]="Yes",1,0)</f>
        <v>1</v>
      </c>
      <c r="J288" s="11">
        <v>30</v>
      </c>
      <c r="K288" s="8" t="s">
        <v>19</v>
      </c>
      <c r="L288" s="24">
        <f>IF(Tabela1[[#This Row],[Minecraft Season Pass]]="Yes",1,0)</f>
        <v>1</v>
      </c>
      <c r="M288" s="11">
        <v>20</v>
      </c>
      <c r="N288" s="11">
        <v>20</v>
      </c>
      <c r="O288" s="11">
        <v>45</v>
      </c>
      <c r="P288" s="23">
        <f>IF(AND(Tabela1[[#This Row],[EA Play Season Pass]]="yes",Tabela1[[#This Row],[Minecraft Season Pass]]="Yes"), "1", "0")*1</f>
        <v>1</v>
      </c>
      <c r="Q288" s="23">
        <f>IF(AND(Tabela1[[#This Row],[EA Play Season Pass]]="No",Tabela1[[#This Row],[Minecraft Season Pass]]="No"), "1", "0")*1</f>
        <v>0</v>
      </c>
      <c r="R288" s="28">
        <f>IF(AND(Tabela1[[#This Row],[EA Play Season Pass]]="No",Tabela1[[#This Row],[Minecraft Season Pass]]="Yes"), "1", "0")*1</f>
        <v>0</v>
      </c>
      <c r="S288" s="28">
        <f>IF(AND(Tabela1[[#This Row],[EA Play Season Pass]]="Yes",Tabela1[[#This Row],[Minecraft Season Pass]]="No"), "1", "0")*1</f>
        <v>0</v>
      </c>
    </row>
    <row r="289" spans="1:19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24">
        <f>IF(Tabela1[[#This Row],[EA Play Season Pass]]="Yes",1,0)</f>
        <v>0</v>
      </c>
      <c r="J289" s="11" t="s">
        <v>311</v>
      </c>
      <c r="K289" s="8" t="s">
        <v>19</v>
      </c>
      <c r="L289" s="24">
        <f>IF(Tabela1[[#This Row],[Minecraft Season Pass]]="Yes",1,0)</f>
        <v>1</v>
      </c>
      <c r="M289" s="11">
        <v>20</v>
      </c>
      <c r="N289" s="11">
        <v>12</v>
      </c>
      <c r="O289" s="11">
        <v>18</v>
      </c>
      <c r="P289" s="23">
        <f>IF(AND(Tabela1[[#This Row],[EA Play Season Pass]]="yes",Tabela1[[#This Row],[Minecraft Season Pass]]="Yes"), "1", "0")*1</f>
        <v>0</v>
      </c>
      <c r="Q289" s="23">
        <f>IF(AND(Tabela1[[#This Row],[EA Play Season Pass]]="No",Tabela1[[#This Row],[Minecraft Season Pass]]="No"), "1", "0")*1</f>
        <v>0</v>
      </c>
      <c r="R289" s="28">
        <f>IF(AND(Tabela1[[#This Row],[EA Play Season Pass]]="No",Tabela1[[#This Row],[Minecraft Season Pass]]="Yes"), "1", "0")*1</f>
        <v>1</v>
      </c>
      <c r="S289" s="28">
        <f>IF(AND(Tabela1[[#This Row],[EA Play Season Pass]]="Yes",Tabela1[[#This Row],[Minecraft Season Pass]]="No"), "1", "0")*1</f>
        <v>0</v>
      </c>
    </row>
    <row r="290" spans="1:19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24">
        <f>IF(Tabela1[[#This Row],[EA Play Season Pass]]="Yes",1,0)</f>
        <v>0</v>
      </c>
      <c r="J290" s="11" t="s">
        <v>311</v>
      </c>
      <c r="K290" s="8" t="s">
        <v>23</v>
      </c>
      <c r="L290" s="24">
        <f>IF(Tabela1[[#This Row],[Minecraft Season Pass]]="Yes",1,0)</f>
        <v>0</v>
      </c>
      <c r="M290" s="11">
        <v>0</v>
      </c>
      <c r="N290" s="11">
        <v>2</v>
      </c>
      <c r="O290" s="11">
        <v>3</v>
      </c>
      <c r="P290" s="23">
        <f>IF(AND(Tabela1[[#This Row],[EA Play Season Pass]]="yes",Tabela1[[#This Row],[Minecraft Season Pass]]="Yes"), "1", "0")*1</f>
        <v>0</v>
      </c>
      <c r="Q290" s="23">
        <f>IF(AND(Tabela1[[#This Row],[EA Play Season Pass]]="No",Tabela1[[#This Row],[Minecraft Season Pass]]="No"), "1", "0")*1</f>
        <v>1</v>
      </c>
      <c r="R290" s="28">
        <f>IF(AND(Tabela1[[#This Row],[EA Play Season Pass]]="No",Tabela1[[#This Row],[Minecraft Season Pass]]="Yes"), "1", "0")*1</f>
        <v>0</v>
      </c>
      <c r="S290" s="28">
        <f>IF(AND(Tabela1[[#This Row],[EA Play Season Pass]]="Yes",Tabela1[[#This Row],[Minecraft Season Pass]]="No"), "1", "0")*1</f>
        <v>0</v>
      </c>
    </row>
    <row r="291" spans="1:19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24">
        <f>IF(Tabela1[[#This Row],[EA Play Season Pass]]="Yes",1,0)</f>
        <v>1</v>
      </c>
      <c r="J291" s="11">
        <v>30</v>
      </c>
      <c r="K291" s="8" t="s">
        <v>19</v>
      </c>
      <c r="L291" s="24">
        <f>IF(Tabela1[[#This Row],[Minecraft Season Pass]]="Yes",1,0)</f>
        <v>1</v>
      </c>
      <c r="M291" s="11">
        <v>20</v>
      </c>
      <c r="N291" s="11">
        <v>5</v>
      </c>
      <c r="O291" s="11">
        <v>60</v>
      </c>
      <c r="P291" s="23">
        <f>IF(AND(Tabela1[[#This Row],[EA Play Season Pass]]="yes",Tabela1[[#This Row],[Minecraft Season Pass]]="Yes"), "1", "0")*1</f>
        <v>1</v>
      </c>
      <c r="Q291" s="23">
        <f>IF(AND(Tabela1[[#This Row],[EA Play Season Pass]]="No",Tabela1[[#This Row],[Minecraft Season Pass]]="No"), "1", "0")*1</f>
        <v>0</v>
      </c>
      <c r="R291" s="28">
        <f>IF(AND(Tabela1[[#This Row],[EA Play Season Pass]]="No",Tabela1[[#This Row],[Minecraft Season Pass]]="Yes"), "1", "0")*1</f>
        <v>0</v>
      </c>
      <c r="S291" s="28">
        <f>IF(AND(Tabela1[[#This Row],[EA Play Season Pass]]="Yes",Tabela1[[#This Row],[Minecraft Season Pass]]="No"), "1", "0")*1</f>
        <v>0</v>
      </c>
    </row>
    <row r="292" spans="1:19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24">
        <f>IF(Tabela1[[#This Row],[EA Play Season Pass]]="Yes",1,0)</f>
        <v>0</v>
      </c>
      <c r="J292" s="11" t="s">
        <v>311</v>
      </c>
      <c r="K292" s="8" t="s">
        <v>19</v>
      </c>
      <c r="L292" s="24">
        <f>IF(Tabela1[[#This Row],[Minecraft Season Pass]]="Yes",1,0)</f>
        <v>1</v>
      </c>
      <c r="M292" s="11">
        <v>20</v>
      </c>
      <c r="N292" s="11">
        <v>10</v>
      </c>
      <c r="O292" s="11">
        <v>20</v>
      </c>
      <c r="P292" s="23">
        <f>IF(AND(Tabela1[[#This Row],[EA Play Season Pass]]="yes",Tabela1[[#This Row],[Minecraft Season Pass]]="Yes"), "1", "0")*1</f>
        <v>0</v>
      </c>
      <c r="Q292" s="23">
        <f>IF(AND(Tabela1[[#This Row],[EA Play Season Pass]]="No",Tabela1[[#This Row],[Minecraft Season Pass]]="No"), "1", "0")*1</f>
        <v>0</v>
      </c>
      <c r="R292" s="28">
        <f>IF(AND(Tabela1[[#This Row],[EA Play Season Pass]]="No",Tabela1[[#This Row],[Minecraft Season Pass]]="Yes"), "1", "0")*1</f>
        <v>1</v>
      </c>
      <c r="S292" s="28">
        <f>IF(AND(Tabela1[[#This Row],[EA Play Season Pass]]="Yes",Tabela1[[#This Row],[Minecraft Season Pass]]="No"), "1", "0")*1</f>
        <v>0</v>
      </c>
    </row>
    <row r="293" spans="1:19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24">
        <f>IF(Tabela1[[#This Row],[EA Play Season Pass]]="Yes",1,0)</f>
        <v>0</v>
      </c>
      <c r="J293" s="11" t="s">
        <v>311</v>
      </c>
      <c r="K293" s="8" t="s">
        <v>23</v>
      </c>
      <c r="L293" s="24">
        <f>IF(Tabela1[[#This Row],[Minecraft Season Pass]]="Yes",1,0)</f>
        <v>0</v>
      </c>
      <c r="M293" s="11">
        <v>0</v>
      </c>
      <c r="N293" s="11">
        <v>0</v>
      </c>
      <c r="O293" s="11">
        <v>5</v>
      </c>
      <c r="P293" s="23">
        <f>IF(AND(Tabela1[[#This Row],[EA Play Season Pass]]="yes",Tabela1[[#This Row],[Minecraft Season Pass]]="Yes"), "1", "0")*1</f>
        <v>0</v>
      </c>
      <c r="Q293" s="23">
        <f>IF(AND(Tabela1[[#This Row],[EA Play Season Pass]]="No",Tabela1[[#This Row],[Minecraft Season Pass]]="No"), "1", "0")*1</f>
        <v>1</v>
      </c>
      <c r="R293" s="28">
        <f>IF(AND(Tabela1[[#This Row],[EA Play Season Pass]]="No",Tabela1[[#This Row],[Minecraft Season Pass]]="Yes"), "1", "0")*1</f>
        <v>0</v>
      </c>
      <c r="S293" s="28">
        <f>IF(AND(Tabela1[[#This Row],[EA Play Season Pass]]="Yes",Tabela1[[#This Row],[Minecraft Season Pass]]="No"), "1", "0")*1</f>
        <v>0</v>
      </c>
    </row>
    <row r="294" spans="1:19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24">
        <f>IF(Tabela1[[#This Row],[EA Play Season Pass]]="Yes",1,0)</f>
        <v>1</v>
      </c>
      <c r="J294" s="11">
        <v>30</v>
      </c>
      <c r="K294" s="8" t="s">
        <v>19</v>
      </c>
      <c r="L294" s="24">
        <f>IF(Tabela1[[#This Row],[Minecraft Season Pass]]="Yes",1,0)</f>
        <v>1</v>
      </c>
      <c r="M294" s="11">
        <v>20</v>
      </c>
      <c r="N294" s="11">
        <v>3</v>
      </c>
      <c r="O294" s="11">
        <v>62</v>
      </c>
      <c r="P294" s="23">
        <f>IF(AND(Tabela1[[#This Row],[EA Play Season Pass]]="yes",Tabela1[[#This Row],[Minecraft Season Pass]]="Yes"), "1", "0")*1</f>
        <v>1</v>
      </c>
      <c r="Q294" s="23">
        <f>IF(AND(Tabela1[[#This Row],[EA Play Season Pass]]="No",Tabela1[[#This Row],[Minecraft Season Pass]]="No"), "1", "0")*1</f>
        <v>0</v>
      </c>
      <c r="R294" s="28">
        <f>IF(AND(Tabela1[[#This Row],[EA Play Season Pass]]="No",Tabela1[[#This Row],[Minecraft Season Pass]]="Yes"), "1", "0")*1</f>
        <v>0</v>
      </c>
      <c r="S294" s="28">
        <f>IF(AND(Tabela1[[#This Row],[EA Play Season Pass]]="Yes",Tabela1[[#This Row],[Minecraft Season Pass]]="No"), "1", "0")*1</f>
        <v>0</v>
      </c>
    </row>
    <row r="295" spans="1:19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24">
        <f>IF(Tabela1[[#This Row],[EA Play Season Pass]]="Yes",1,0)</f>
        <v>0</v>
      </c>
      <c r="J295" s="11" t="s">
        <v>311</v>
      </c>
      <c r="K295" s="8" t="s">
        <v>19</v>
      </c>
      <c r="L295" s="24">
        <f>IF(Tabela1[[#This Row],[Minecraft Season Pass]]="Yes",1,0)</f>
        <v>1</v>
      </c>
      <c r="M295" s="11">
        <v>20</v>
      </c>
      <c r="N295" s="11">
        <v>15</v>
      </c>
      <c r="O295" s="11">
        <v>15</v>
      </c>
      <c r="P295" s="23">
        <f>IF(AND(Tabela1[[#This Row],[EA Play Season Pass]]="yes",Tabela1[[#This Row],[Minecraft Season Pass]]="Yes"), "1", "0")*1</f>
        <v>0</v>
      </c>
      <c r="Q295" s="23">
        <f>IF(AND(Tabela1[[#This Row],[EA Play Season Pass]]="No",Tabela1[[#This Row],[Minecraft Season Pass]]="No"), "1", "0")*1</f>
        <v>0</v>
      </c>
      <c r="R295" s="28">
        <f>IF(AND(Tabela1[[#This Row],[EA Play Season Pass]]="No",Tabela1[[#This Row],[Minecraft Season Pass]]="Yes"), "1", "0")*1</f>
        <v>1</v>
      </c>
      <c r="S295" s="28">
        <f>IF(AND(Tabela1[[#This Row],[EA Play Season Pass]]="Yes",Tabela1[[#This Row],[Minecraft Season Pass]]="No"), "1", "0")*1</f>
        <v>0</v>
      </c>
    </row>
    <row r="296" spans="1:19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24">
        <f>IF(Tabela1[[#This Row],[EA Play Season Pass]]="Yes",1,0)</f>
        <v>0</v>
      </c>
      <c r="J296" s="11" t="s">
        <v>311</v>
      </c>
      <c r="K296" s="8" t="s">
        <v>23</v>
      </c>
      <c r="L296" s="24">
        <f>IF(Tabela1[[#This Row],[Minecraft Season Pass]]="Yes",1,0)</f>
        <v>0</v>
      </c>
      <c r="M296" s="11">
        <v>0</v>
      </c>
      <c r="N296" s="11">
        <v>1</v>
      </c>
      <c r="O296" s="11">
        <v>4</v>
      </c>
      <c r="P296" s="23">
        <f>IF(AND(Tabela1[[#This Row],[EA Play Season Pass]]="yes",Tabela1[[#This Row],[Minecraft Season Pass]]="Yes"), "1", "0")*1</f>
        <v>0</v>
      </c>
      <c r="Q296" s="23">
        <f>IF(AND(Tabela1[[#This Row],[EA Play Season Pass]]="No",Tabela1[[#This Row],[Minecraft Season Pass]]="No"), "1", "0")*1</f>
        <v>1</v>
      </c>
      <c r="R296" s="28">
        <f>IF(AND(Tabela1[[#This Row],[EA Play Season Pass]]="No",Tabela1[[#This Row],[Minecraft Season Pass]]="Yes"), "1", "0")*1</f>
        <v>0</v>
      </c>
      <c r="S296" s="28">
        <f>IF(AND(Tabela1[[#This Row],[EA Play Season Pass]]="Yes",Tabela1[[#This Row],[Minecraft Season Pass]]="No"), "1", "0")*1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103"/>
  <sheetViews>
    <sheetView showGridLines="0" topLeftCell="A85" workbookViewId="0">
      <selection activeCell="B91" sqref="B91:B102"/>
    </sheetView>
  </sheetViews>
  <sheetFormatPr defaultRowHeight="14.4" x14ac:dyDescent="0.3"/>
  <cols>
    <col min="2" max="2" width="29.77734375" bestFit="1" customWidth="1"/>
    <col min="3" max="3" width="31.6640625" bestFit="1" customWidth="1"/>
    <col min="4" max="4" width="34.5546875" bestFit="1" customWidth="1"/>
    <col min="5" max="5" width="33" bestFit="1" customWidth="1"/>
    <col min="6" max="7" width="10" bestFit="1" customWidth="1"/>
    <col min="8" max="8" width="9.6640625" bestFit="1" customWidth="1"/>
    <col min="9" max="9" width="10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29" t="s">
        <v>318</v>
      </c>
      <c r="C3" s="29"/>
      <c r="D3" s="29"/>
      <c r="E3" s="29"/>
      <c r="F3" s="29"/>
    </row>
    <row r="6" spans="2:6" x14ac:dyDescent="0.3">
      <c r="B6" t="s">
        <v>313</v>
      </c>
    </row>
    <row r="7" spans="2:6" x14ac:dyDescent="0.3">
      <c r="B7" t="s">
        <v>317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314</v>
      </c>
      <c r="C11" t="s">
        <v>316</v>
      </c>
    </row>
    <row r="12" spans="2:6" x14ac:dyDescent="0.3">
      <c r="B12" s="13" t="s">
        <v>23</v>
      </c>
      <c r="C12" s="14">
        <v>217</v>
      </c>
    </row>
    <row r="13" spans="2:6" x14ac:dyDescent="0.3">
      <c r="B13" s="13" t="s">
        <v>19</v>
      </c>
      <c r="C13" s="14">
        <v>1537</v>
      </c>
    </row>
    <row r="14" spans="2:6" x14ac:dyDescent="0.3">
      <c r="B14" s="13" t="s">
        <v>315</v>
      </c>
      <c r="C14" s="14">
        <v>1754</v>
      </c>
      <c r="D14" s="17">
        <f>GETPIVOTDATA("Total Value",$B$11)</f>
        <v>1754</v>
      </c>
    </row>
    <row r="17" spans="2:4" x14ac:dyDescent="0.3">
      <c r="B17" s="13" t="s">
        <v>319</v>
      </c>
    </row>
    <row r="19" spans="2:4" x14ac:dyDescent="0.3">
      <c r="B19" s="12" t="s">
        <v>16</v>
      </c>
      <c r="C19" t="s">
        <v>341</v>
      </c>
    </row>
    <row r="21" spans="2:4" x14ac:dyDescent="0.3">
      <c r="B21" s="12" t="s">
        <v>314</v>
      </c>
      <c r="C21" t="s">
        <v>320</v>
      </c>
    </row>
    <row r="22" spans="2:4" x14ac:dyDescent="0.3">
      <c r="B22" s="13" t="s">
        <v>22</v>
      </c>
      <c r="C22">
        <v>0</v>
      </c>
    </row>
    <row r="23" spans="2:4" x14ac:dyDescent="0.3">
      <c r="B23" s="13" t="s">
        <v>26</v>
      </c>
      <c r="C23">
        <v>0</v>
      </c>
    </row>
    <row r="24" spans="2:4" x14ac:dyDescent="0.3">
      <c r="B24" s="13" t="s">
        <v>18</v>
      </c>
      <c r="C24">
        <v>2940</v>
      </c>
    </row>
    <row r="25" spans="2:4" x14ac:dyDescent="0.3">
      <c r="B25" s="13" t="s">
        <v>315</v>
      </c>
      <c r="C25">
        <v>2940</v>
      </c>
      <c r="D25" s="17">
        <f>GETPIVOTDATA("EA Play Season Pass
Price",$B$21)</f>
        <v>2940</v>
      </c>
    </row>
    <row r="28" spans="2:4" x14ac:dyDescent="0.3">
      <c r="B28" s="13" t="s">
        <v>321</v>
      </c>
    </row>
    <row r="30" spans="2:4" x14ac:dyDescent="0.3">
      <c r="B30" s="12" t="s">
        <v>16</v>
      </c>
      <c r="C30" t="s">
        <v>341</v>
      </c>
    </row>
    <row r="32" spans="2:4" x14ac:dyDescent="0.3">
      <c r="B32" s="12" t="s">
        <v>314</v>
      </c>
      <c r="C32" t="s">
        <v>322</v>
      </c>
    </row>
    <row r="33" spans="2:4" x14ac:dyDescent="0.3">
      <c r="B33" s="13" t="s">
        <v>22</v>
      </c>
      <c r="C33" s="14">
        <v>0</v>
      </c>
    </row>
    <row r="34" spans="2:4" x14ac:dyDescent="0.3">
      <c r="B34" s="13" t="s">
        <v>26</v>
      </c>
      <c r="C34" s="14">
        <v>1920</v>
      </c>
    </row>
    <row r="35" spans="2:4" x14ac:dyDescent="0.3">
      <c r="B35" s="13" t="s">
        <v>18</v>
      </c>
      <c r="C35" s="14">
        <v>1960</v>
      </c>
    </row>
    <row r="36" spans="2:4" x14ac:dyDescent="0.3">
      <c r="B36" s="13" t="s">
        <v>315</v>
      </c>
      <c r="C36" s="14">
        <v>3880</v>
      </c>
      <c r="D36" s="17">
        <f>GETPIVOTDATA("Minecraft Season Pass Price",$B$32)</f>
        <v>3880</v>
      </c>
    </row>
    <row r="40" spans="2:4" x14ac:dyDescent="0.3">
      <c r="B40" s="20" t="s">
        <v>324</v>
      </c>
    </row>
    <row r="41" spans="2:4" x14ac:dyDescent="0.3">
      <c r="B41" t="s">
        <v>325</v>
      </c>
    </row>
    <row r="42" spans="2:4" x14ac:dyDescent="0.3">
      <c r="B42" t="s">
        <v>326</v>
      </c>
    </row>
    <row r="45" spans="2:4" x14ac:dyDescent="0.3">
      <c r="B45" s="12" t="s">
        <v>314</v>
      </c>
      <c r="C45" t="s">
        <v>316</v>
      </c>
    </row>
    <row r="46" spans="2:4" x14ac:dyDescent="0.3">
      <c r="B46" s="13" t="s">
        <v>22</v>
      </c>
      <c r="C46" s="14">
        <v>444</v>
      </c>
    </row>
    <row r="47" spans="2:4" x14ac:dyDescent="0.3">
      <c r="B47" s="13" t="s">
        <v>26</v>
      </c>
      <c r="C47" s="14">
        <v>1801</v>
      </c>
    </row>
    <row r="48" spans="2:4" x14ac:dyDescent="0.3">
      <c r="B48" s="13" t="s">
        <v>18</v>
      </c>
      <c r="C48" s="14">
        <v>5388</v>
      </c>
    </row>
    <row r="49" spans="2:4" x14ac:dyDescent="0.3">
      <c r="B49" s="13" t="s">
        <v>315</v>
      </c>
      <c r="C49" s="14">
        <v>7633</v>
      </c>
      <c r="D49" s="17">
        <f>GETPIVOTDATA("Total Value",$B$45)</f>
        <v>7633</v>
      </c>
    </row>
    <row r="53" spans="2:4" x14ac:dyDescent="0.3">
      <c r="B53" s="20" t="s">
        <v>327</v>
      </c>
    </row>
    <row r="54" spans="2:4" x14ac:dyDescent="0.3">
      <c r="B54" t="s">
        <v>328</v>
      </c>
    </row>
    <row r="55" spans="2:4" x14ac:dyDescent="0.3">
      <c r="B55" t="s">
        <v>329</v>
      </c>
    </row>
    <row r="59" spans="2:4" x14ac:dyDescent="0.3">
      <c r="B59" s="12" t="s">
        <v>314</v>
      </c>
      <c r="C59" t="s">
        <v>316</v>
      </c>
    </row>
    <row r="60" spans="2:4" x14ac:dyDescent="0.3">
      <c r="B60" s="13" t="s">
        <v>23</v>
      </c>
      <c r="C60" s="14">
        <v>3847</v>
      </c>
    </row>
    <row r="61" spans="2:4" x14ac:dyDescent="0.3">
      <c r="B61" s="13" t="s">
        <v>19</v>
      </c>
      <c r="C61" s="14">
        <v>3786</v>
      </c>
    </row>
    <row r="62" spans="2:4" x14ac:dyDescent="0.3">
      <c r="B62" s="13" t="s">
        <v>315</v>
      </c>
      <c r="C62" s="14">
        <v>7633</v>
      </c>
    </row>
    <row r="66" spans="2:5" x14ac:dyDescent="0.3">
      <c r="B66" s="20" t="s">
        <v>330</v>
      </c>
    </row>
    <row r="67" spans="2:5" x14ac:dyDescent="0.3">
      <c r="B67" t="s">
        <v>331</v>
      </c>
    </row>
    <row r="68" spans="2:5" x14ac:dyDescent="0.3">
      <c r="B68" s="21"/>
    </row>
    <row r="69" spans="2:5" x14ac:dyDescent="0.3">
      <c r="B69" s="21" t="s">
        <v>332</v>
      </c>
    </row>
    <row r="70" spans="2:5" x14ac:dyDescent="0.3">
      <c r="B70" s="21" t="s">
        <v>333</v>
      </c>
    </row>
    <row r="71" spans="2:5" x14ac:dyDescent="0.3">
      <c r="B71" s="21" t="s">
        <v>334</v>
      </c>
    </row>
    <row r="72" spans="2:5" x14ac:dyDescent="0.3">
      <c r="B72" s="22" t="s">
        <v>335</v>
      </c>
    </row>
    <row r="74" spans="2:5" x14ac:dyDescent="0.3">
      <c r="B74" t="s">
        <v>336</v>
      </c>
    </row>
    <row r="78" spans="2:5" x14ac:dyDescent="0.3">
      <c r="B78" t="s">
        <v>363</v>
      </c>
      <c r="C78" t="s">
        <v>362</v>
      </c>
      <c r="D78" t="s">
        <v>358</v>
      </c>
      <c r="E78" t="s">
        <v>359</v>
      </c>
    </row>
    <row r="79" spans="2:5" x14ac:dyDescent="0.3">
      <c r="B79" s="26">
        <v>0</v>
      </c>
      <c r="C79" s="26">
        <v>96</v>
      </c>
      <c r="D79">
        <v>98</v>
      </c>
      <c r="E79" s="26">
        <v>101</v>
      </c>
    </row>
    <row r="83" spans="2:4" x14ac:dyDescent="0.3">
      <c r="B83" s="20" t="s">
        <v>337</v>
      </c>
    </row>
    <row r="84" spans="2:4" x14ac:dyDescent="0.3">
      <c r="B84" t="s">
        <v>338</v>
      </c>
    </row>
    <row r="85" spans="2:4" x14ac:dyDescent="0.3">
      <c r="B85" t="s">
        <v>339</v>
      </c>
    </row>
    <row r="86" spans="2:4" x14ac:dyDescent="0.3">
      <c r="B86" s="20" t="s">
        <v>340</v>
      </c>
    </row>
    <row r="90" spans="2:4" x14ac:dyDescent="0.3">
      <c r="B90" s="12" t="s">
        <v>314</v>
      </c>
      <c r="C90" t="s">
        <v>316</v>
      </c>
    </row>
    <row r="91" spans="2:4" x14ac:dyDescent="0.3">
      <c r="B91" s="27" t="s">
        <v>355</v>
      </c>
      <c r="C91" s="14">
        <v>832</v>
      </c>
      <c r="D91" s="17">
        <f>GETPIVOTDATA("Total Value",$B$90,"Meses (Start Date)",10)</f>
        <v>832</v>
      </c>
    </row>
    <row r="92" spans="2:4" x14ac:dyDescent="0.3">
      <c r="B92" s="27" t="s">
        <v>348</v>
      </c>
      <c r="C92" s="14">
        <v>801</v>
      </c>
    </row>
    <row r="93" spans="2:4" x14ac:dyDescent="0.3">
      <c r="B93" s="27" t="s">
        <v>353</v>
      </c>
      <c r="C93" s="14">
        <v>787</v>
      </c>
    </row>
    <row r="94" spans="2:4" x14ac:dyDescent="0.3">
      <c r="B94" s="27" t="s">
        <v>352</v>
      </c>
      <c r="C94" s="14">
        <v>784</v>
      </c>
    </row>
    <row r="95" spans="2:4" x14ac:dyDescent="0.3">
      <c r="B95" s="27" t="s">
        <v>356</v>
      </c>
      <c r="C95" s="14">
        <v>784</v>
      </c>
    </row>
    <row r="96" spans="2:4" x14ac:dyDescent="0.3">
      <c r="B96" s="27" t="s">
        <v>349</v>
      </c>
      <c r="C96" s="14">
        <v>782</v>
      </c>
    </row>
    <row r="97" spans="2:3" x14ac:dyDescent="0.3">
      <c r="B97" s="27" t="s">
        <v>354</v>
      </c>
      <c r="C97" s="14">
        <v>780</v>
      </c>
    </row>
    <row r="98" spans="2:3" x14ac:dyDescent="0.3">
      <c r="B98" s="27" t="s">
        <v>350</v>
      </c>
      <c r="C98" s="14">
        <v>777</v>
      </c>
    </row>
    <row r="99" spans="2:3" x14ac:dyDescent="0.3">
      <c r="B99" s="27" t="s">
        <v>351</v>
      </c>
      <c r="C99" s="14">
        <v>770</v>
      </c>
    </row>
    <row r="100" spans="2:3" x14ac:dyDescent="0.3">
      <c r="B100" s="27" t="s">
        <v>357</v>
      </c>
      <c r="C100" s="14">
        <v>389</v>
      </c>
    </row>
    <row r="101" spans="2:3" x14ac:dyDescent="0.3">
      <c r="B101" s="13" t="s">
        <v>347</v>
      </c>
      <c r="C101" s="14">
        <v>82</v>
      </c>
    </row>
    <row r="102" spans="2:3" x14ac:dyDescent="0.3">
      <c r="B102" s="27" t="s">
        <v>346</v>
      </c>
      <c r="C102" s="14">
        <v>65</v>
      </c>
    </row>
    <row r="103" spans="2:3" x14ac:dyDescent="0.3">
      <c r="B103" s="13" t="s">
        <v>315</v>
      </c>
      <c r="C103" s="14">
        <v>7633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369"/>
  <sheetViews>
    <sheetView showGridLines="0" showRowColHeaders="0" topLeftCell="A2" zoomScale="85" zoomScaleNormal="85" workbookViewId="0">
      <selection activeCell="V22" sqref="V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6640625" style="4" customWidth="1"/>
    <col min="2" max="2" width="3.21875" customWidth="1"/>
    <col min="3" max="16" width="9.109375" customWidth="1"/>
    <col min="17" max="17" width="7" customWidth="1"/>
  </cols>
  <sheetData>
    <row r="2" spans="1:17" ht="32.4" customHeight="1" thickBot="1" x14ac:dyDescent="0.6">
      <c r="C2" s="18"/>
      <c r="D2" s="15" t="s">
        <v>323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5.2" customHeight="1" thickTop="1" x14ac:dyDescent="0.3"/>
    <row r="4" spans="1:17" s="7" customFormat="1" ht="10.8" customHeight="1" x14ac:dyDescent="0.3">
      <c r="A4" s="4"/>
    </row>
    <row r="5" spans="1:17" s="7" customFormat="1" ht="10.8" customHeight="1" x14ac:dyDescent="0.3">
      <c r="A5" s="4"/>
      <c r="C5" s="19"/>
    </row>
    <row r="6" spans="1:17" s="7" customFormat="1" ht="10.8" customHeight="1" x14ac:dyDescent="0.3">
      <c r="A6" s="4"/>
    </row>
    <row r="7" spans="1:17" s="7" customFormat="1" ht="9.75" customHeight="1" x14ac:dyDescent="0.3">
      <c r="A7" s="4"/>
    </row>
    <row r="8" spans="1:17" s="7" customFormat="1" ht="33" customHeight="1" x14ac:dyDescent="0.3">
      <c r="A8" s="4"/>
    </row>
    <row r="9" spans="1:17" s="7" customFormat="1" x14ac:dyDescent="0.3">
      <c r="A9" s="4"/>
    </row>
    <row r="10" spans="1:17" s="7" customFormat="1" x14ac:dyDescent="0.3">
      <c r="A10" s="4"/>
    </row>
    <row r="11" spans="1:17" s="7" customFormat="1" x14ac:dyDescent="0.3">
      <c r="A11" s="4"/>
    </row>
    <row r="12" spans="1:17" s="7" customFormat="1" x14ac:dyDescent="0.3">
      <c r="A12" s="4"/>
    </row>
    <row r="13" spans="1:17" s="7" customFormat="1" x14ac:dyDescent="0.3">
      <c r="A13" s="4"/>
    </row>
    <row r="14" spans="1:17" s="7" customFormat="1" x14ac:dyDescent="0.3">
      <c r="A14" s="4"/>
    </row>
    <row r="15" spans="1:17" s="7" customFormat="1" x14ac:dyDescent="0.3">
      <c r="A15" s="4"/>
    </row>
    <row r="16" spans="1:17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  <row r="360" spans="1:1" s="7" customFormat="1" x14ac:dyDescent="0.3">
      <c r="A360" s="4"/>
    </row>
    <row r="361" spans="1:1" s="7" customFormat="1" x14ac:dyDescent="0.3">
      <c r="A361" s="4"/>
    </row>
    <row r="362" spans="1:1" s="7" customFormat="1" x14ac:dyDescent="0.3">
      <c r="A362" s="4"/>
    </row>
    <row r="363" spans="1:1" s="7" customFormat="1" x14ac:dyDescent="0.3">
      <c r="A363" s="4"/>
    </row>
    <row r="364" spans="1:1" s="7" customFormat="1" x14ac:dyDescent="0.3">
      <c r="A364" s="4"/>
    </row>
    <row r="365" spans="1:1" s="7" customFormat="1" x14ac:dyDescent="0.3">
      <c r="A365" s="4"/>
    </row>
    <row r="366" spans="1:1" s="7" customFormat="1" x14ac:dyDescent="0.3">
      <c r="A366" s="4"/>
    </row>
    <row r="367" spans="1:1" s="7" customFormat="1" x14ac:dyDescent="0.3">
      <c r="A367" s="4"/>
    </row>
    <row r="368" spans="1:1" s="7" customFormat="1" x14ac:dyDescent="0.3">
      <c r="A368" s="4"/>
    </row>
    <row r="369" spans="1:1" s="7" customFormat="1" x14ac:dyDescent="0.3">
      <c r="A36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3EFB-742B-4C30-B3AF-C68775B9C3CE}">
  <dimension ref="A2:Q369"/>
  <sheetViews>
    <sheetView showGridLines="0" showRowColHeaders="0" tabSelected="1" zoomScale="72" zoomScaleNormal="72" workbookViewId="0">
      <selection activeCell="P48" sqref="P4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6640625" style="4" customWidth="1"/>
    <col min="2" max="2" width="3.21875" customWidth="1"/>
    <col min="3" max="16" width="9.109375" customWidth="1"/>
    <col min="17" max="17" width="7" customWidth="1"/>
  </cols>
  <sheetData>
    <row r="2" spans="1:17" ht="32.4" customHeight="1" thickBot="1" x14ac:dyDescent="0.6">
      <c r="C2" s="18"/>
      <c r="D2" s="15" t="s">
        <v>323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5.2" customHeight="1" thickTop="1" x14ac:dyDescent="0.3"/>
    <row r="4" spans="1:17" s="7" customFormat="1" ht="10.8" customHeight="1" x14ac:dyDescent="0.3">
      <c r="A4" s="4"/>
    </row>
    <row r="5" spans="1:17" s="7" customFormat="1" ht="10.8" customHeight="1" x14ac:dyDescent="0.3">
      <c r="A5" s="4"/>
      <c r="C5" s="19"/>
    </row>
    <row r="6" spans="1:17" s="7" customFormat="1" ht="10.8" customHeight="1" x14ac:dyDescent="0.3">
      <c r="A6" s="4"/>
    </row>
    <row r="7" spans="1:17" s="7" customFormat="1" ht="9.75" customHeight="1" x14ac:dyDescent="0.3">
      <c r="A7" s="4"/>
    </row>
    <row r="8" spans="1:17" s="7" customFormat="1" ht="33" customHeight="1" x14ac:dyDescent="0.3">
      <c r="A8" s="4"/>
    </row>
    <row r="9" spans="1:17" s="7" customFormat="1" x14ac:dyDescent="0.3">
      <c r="A9" s="4"/>
    </row>
    <row r="10" spans="1:17" s="7" customFormat="1" x14ac:dyDescent="0.3">
      <c r="A10" s="4"/>
    </row>
    <row r="11" spans="1:17" s="7" customFormat="1" x14ac:dyDescent="0.3">
      <c r="A11" s="4"/>
    </row>
    <row r="12" spans="1:17" s="7" customFormat="1" x14ac:dyDescent="0.3">
      <c r="A12" s="4"/>
    </row>
    <row r="13" spans="1:17" s="7" customFormat="1" x14ac:dyDescent="0.3">
      <c r="A13" s="4"/>
    </row>
    <row r="14" spans="1:17" s="7" customFormat="1" x14ac:dyDescent="0.3">
      <c r="A14" s="4"/>
    </row>
    <row r="15" spans="1:17" s="7" customFormat="1" x14ac:dyDescent="0.3">
      <c r="A15" s="4"/>
    </row>
    <row r="16" spans="1:17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  <row r="360" spans="1:1" s="7" customFormat="1" x14ac:dyDescent="0.3">
      <c r="A360" s="4"/>
    </row>
    <row r="361" spans="1:1" s="7" customFormat="1" x14ac:dyDescent="0.3">
      <c r="A361" s="4"/>
    </row>
    <row r="362" spans="1:1" s="7" customFormat="1" x14ac:dyDescent="0.3">
      <c r="A362" s="4"/>
    </row>
    <row r="363" spans="1:1" s="7" customFormat="1" x14ac:dyDescent="0.3">
      <c r="A363" s="4"/>
    </row>
    <row r="364" spans="1:1" s="7" customFormat="1" x14ac:dyDescent="0.3">
      <c r="A364" s="4"/>
    </row>
    <row r="365" spans="1:1" s="7" customFormat="1" x14ac:dyDescent="0.3">
      <c r="A365" s="4"/>
    </row>
    <row r="366" spans="1:1" s="7" customFormat="1" x14ac:dyDescent="0.3">
      <c r="A366" s="4"/>
    </row>
    <row r="367" spans="1:1" s="7" customFormat="1" x14ac:dyDescent="0.3">
      <c r="A367" s="4"/>
    </row>
    <row r="368" spans="1:1" s="7" customFormat="1" x14ac:dyDescent="0.3">
      <c r="A368" s="4"/>
    </row>
    <row r="369" spans="1:1" s="7" customFormat="1" x14ac:dyDescent="0.3">
      <c r="A369" s="4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Calcs</vt:lpstr>
      <vt:lpstr>Game_Pass_Sales_D̳ashboard</vt:lpstr>
      <vt:lpstr>Revenue_Subscriptions_Dashboard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Adelson Nobre</cp:lastModifiedBy>
  <dcterms:created xsi:type="dcterms:W3CDTF">2024-12-19T13:13:10Z</dcterms:created>
  <dcterms:modified xsi:type="dcterms:W3CDTF">2026-09-24T14:09:36Z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